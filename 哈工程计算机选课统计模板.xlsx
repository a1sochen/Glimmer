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Desktop\01_University\学分\必修\"/>
    </mc:Choice>
  </mc:AlternateContent>
  <xr:revisionPtr revIDLastSave="0" documentId="13_ncr:1_{D422F66C-4FA2-4EC6-A0DA-EFAA7FD0192D}" xr6:coauthVersionLast="47" xr6:coauthVersionMax="47" xr10:uidLastSave="{00000000-0000-0000-0000-000000000000}"/>
  <bookViews>
    <workbookView xWindow="-120" yWindow="-120" windowWidth="29040" windowHeight="16440" firstSheet="1" activeTab="1" xr2:uid="{00000000-000D-0000-FFFF-FFFF00000000}"/>
  </bookViews>
  <sheets>
    <sheet name="毕业要求" sheetId="5" r:id="rId1"/>
    <sheet name="必修" sheetId="4" r:id="rId2"/>
    <sheet name="专业选修" sheetId="2" r:id="rId3"/>
    <sheet name="通识教育选修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5" i="3" l="1"/>
  <c r="E19" i="3"/>
  <c r="E15" i="3"/>
  <c r="E18" i="3"/>
  <c r="E17" i="3"/>
  <c r="E16" i="3"/>
  <c r="K5" i="2"/>
  <c r="P7" i="4"/>
  <c r="G28" i="4"/>
  <c r="G6" i="4"/>
  <c r="L8" i="4" s="1"/>
  <c r="G15" i="4"/>
  <c r="P30" i="4"/>
  <c r="P31" i="4"/>
  <c r="P32" i="4"/>
  <c r="P29" i="4"/>
  <c r="U6" i="4"/>
  <c r="U15" i="4"/>
  <c r="U28" i="4"/>
  <c r="C28" i="4"/>
  <c r="U41" i="4"/>
  <c r="R16" i="4"/>
  <c r="Q30" i="4"/>
  <c r="Q31" i="4"/>
  <c r="Q32" i="4"/>
  <c r="Q29" i="4"/>
  <c r="Q17" i="4"/>
  <c r="Q15" i="4" s="1"/>
  <c r="Q18" i="4"/>
  <c r="Q19" i="4"/>
  <c r="Q20" i="4"/>
  <c r="Q21" i="4"/>
  <c r="Q22" i="4"/>
  <c r="Q23" i="4"/>
  <c r="Q16" i="4"/>
  <c r="P17" i="4"/>
  <c r="P18" i="4"/>
  <c r="P19" i="4"/>
  <c r="P20" i="4"/>
  <c r="P21" i="4"/>
  <c r="P22" i="4"/>
  <c r="P23" i="4"/>
  <c r="P16" i="4"/>
  <c r="Q8" i="4"/>
  <c r="Q9" i="4"/>
  <c r="Q10" i="4"/>
  <c r="Q11" i="4"/>
  <c r="Q12" i="4"/>
  <c r="Q13" i="4"/>
  <c r="Q7" i="4"/>
  <c r="Q6" i="4" s="1"/>
  <c r="P8" i="4"/>
  <c r="P6" i="4" s="1"/>
  <c r="P9" i="4"/>
  <c r="P10" i="4"/>
  <c r="P11" i="4"/>
  <c r="P12" i="4"/>
  <c r="P13" i="4"/>
  <c r="C30" i="4"/>
  <c r="C31" i="4"/>
  <c r="C32" i="4"/>
  <c r="C33" i="4"/>
  <c r="C34" i="4"/>
  <c r="C35" i="4"/>
  <c r="C36" i="4"/>
  <c r="C37" i="4"/>
  <c r="C38" i="4"/>
  <c r="B30" i="4"/>
  <c r="B31" i="4"/>
  <c r="B32" i="4"/>
  <c r="B33" i="4"/>
  <c r="B34" i="4"/>
  <c r="B35" i="4"/>
  <c r="B36" i="4"/>
  <c r="B37" i="4"/>
  <c r="B38" i="4"/>
  <c r="C29" i="4"/>
  <c r="B29" i="4"/>
  <c r="C17" i="4"/>
  <c r="C18" i="4"/>
  <c r="C19" i="4"/>
  <c r="C20" i="4"/>
  <c r="C21" i="4"/>
  <c r="C22" i="4"/>
  <c r="C23" i="4"/>
  <c r="C24" i="4"/>
  <c r="C25" i="4"/>
  <c r="C26" i="4"/>
  <c r="C16" i="4"/>
  <c r="B17" i="4"/>
  <c r="B18" i="4"/>
  <c r="B19" i="4"/>
  <c r="B20" i="4"/>
  <c r="B21" i="4"/>
  <c r="B22" i="4"/>
  <c r="B23" i="4"/>
  <c r="B24" i="4"/>
  <c r="B25" i="4"/>
  <c r="B26" i="4"/>
  <c r="B16" i="4"/>
  <c r="B9" i="4"/>
  <c r="B10" i="4"/>
  <c r="B11" i="4"/>
  <c r="B12" i="4"/>
  <c r="B13" i="4"/>
  <c r="B8" i="4"/>
  <c r="B7" i="4"/>
  <c r="C8" i="4"/>
  <c r="C9" i="4"/>
  <c r="C10" i="4"/>
  <c r="C11" i="4"/>
  <c r="C12" i="4"/>
  <c r="C13" i="4"/>
  <c r="C7" i="4"/>
  <c r="R30" i="4"/>
  <c r="R31" i="4"/>
  <c r="R32" i="4"/>
  <c r="R29" i="4"/>
  <c r="S30" i="4"/>
  <c r="S31" i="4"/>
  <c r="S32" i="4"/>
  <c r="S29" i="4"/>
  <c r="S28" i="4" s="1"/>
  <c r="N11" i="5"/>
  <c r="R23" i="4"/>
  <c r="R17" i="4"/>
  <c r="R18" i="4"/>
  <c r="R19" i="4"/>
  <c r="R20" i="4"/>
  <c r="R21" i="4"/>
  <c r="R22" i="4"/>
  <c r="S17" i="4"/>
  <c r="S18" i="4"/>
  <c r="S19" i="4"/>
  <c r="S20" i="4"/>
  <c r="S21" i="4"/>
  <c r="S22" i="4"/>
  <c r="S23" i="4"/>
  <c r="S16" i="4"/>
  <c r="R7" i="4"/>
  <c r="R8" i="4"/>
  <c r="R9" i="4"/>
  <c r="R10" i="4"/>
  <c r="R12" i="4"/>
  <c r="R13" i="4"/>
  <c r="R11" i="4"/>
  <c r="S13" i="4"/>
  <c r="S12" i="4"/>
  <c r="S11" i="4"/>
  <c r="S10" i="4"/>
  <c r="S9" i="4"/>
  <c r="S8" i="4"/>
  <c r="S7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E7" i="4"/>
  <c r="E8" i="4"/>
  <c r="E9" i="4"/>
  <c r="E10" i="4"/>
  <c r="E11" i="4"/>
  <c r="E12" i="4"/>
  <c r="E13" i="4"/>
  <c r="Q28" i="4" l="1"/>
  <c r="G8" i="5"/>
  <c r="N8" i="5" s="1"/>
  <c r="C15" i="4"/>
  <c r="L17" i="4"/>
  <c r="C6" i="4"/>
  <c r="V41" i="4"/>
  <c r="R28" i="4"/>
  <c r="V28" i="4" s="1"/>
  <c r="P28" i="4"/>
  <c r="R15" i="4"/>
  <c r="V15" i="4" s="1"/>
  <c r="P15" i="4"/>
  <c r="R6" i="4"/>
  <c r="V6" i="4" s="1"/>
  <c r="D28" i="4"/>
  <c r="E15" i="4"/>
  <c r="D15" i="4"/>
  <c r="H15" i="4" s="1"/>
  <c r="D8" i="4"/>
  <c r="D11" i="4"/>
  <c r="D12" i="4"/>
  <c r="D7" i="4"/>
  <c r="D13" i="4"/>
  <c r="D9" i="4"/>
  <c r="D10" i="4"/>
  <c r="E6" i="4"/>
  <c r="H28" i="4" l="1"/>
  <c r="B28" i="4"/>
  <c r="B15" i="4"/>
  <c r="K5" i="4"/>
  <c r="D6" i="4"/>
  <c r="H6" i="4" s="1"/>
  <c r="B6" i="4" l="1"/>
  <c r="L14" i="4" s="1"/>
  <c r="L20" i="4" s="1"/>
</calcChain>
</file>

<file path=xl/sharedStrings.xml><?xml version="1.0" encoding="utf-8"?>
<sst xmlns="http://schemas.openxmlformats.org/spreadsheetml/2006/main" count="148" uniqueCount="102">
  <si>
    <t>A0≥1</t>
    <phoneticPr fontId="1" type="noConversion"/>
  </si>
  <si>
    <t>B</t>
    <phoneticPr fontId="1" type="noConversion"/>
  </si>
  <si>
    <t>B≥1</t>
    <phoneticPr fontId="1" type="noConversion"/>
  </si>
  <si>
    <t>通识教育选修</t>
    <phoneticPr fontId="1" type="noConversion"/>
  </si>
  <si>
    <t>A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</si>
  <si>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</si>
  <si>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</si>
  <si>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</si>
  <si>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</si>
  <si>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A0</t>
    <phoneticPr fontId="1" type="noConversion"/>
  </si>
  <si>
    <t>学分</t>
    <phoneticPr fontId="1" type="noConversion"/>
  </si>
  <si>
    <t>成绩</t>
    <phoneticPr fontId="1" type="noConversion"/>
  </si>
  <si>
    <t>军事训练</t>
    <phoneticPr fontId="1" type="noConversion"/>
  </si>
  <si>
    <t>名称</t>
    <phoneticPr fontId="1" type="noConversion"/>
  </si>
  <si>
    <t>ALL≥12</t>
    <phoneticPr fontId="1" type="noConversion"/>
  </si>
  <si>
    <t>完成</t>
    <phoneticPr fontId="1" type="noConversion"/>
  </si>
  <si>
    <t>计算思维（一）</t>
    <phoneticPr fontId="1" type="noConversion"/>
  </si>
  <si>
    <t>工科数学分析（一）</t>
    <phoneticPr fontId="1" type="noConversion"/>
  </si>
  <si>
    <t>计算机导论</t>
    <phoneticPr fontId="1" type="noConversion"/>
  </si>
  <si>
    <t>大学物理（一）</t>
    <phoneticPr fontId="1" type="noConversion"/>
  </si>
  <si>
    <t>工科数学分析（二）</t>
    <phoneticPr fontId="1" type="noConversion"/>
  </si>
  <si>
    <t>计算思维（二）</t>
    <phoneticPr fontId="1" type="noConversion"/>
  </si>
  <si>
    <t>工程制图</t>
    <phoneticPr fontId="1" type="noConversion"/>
  </si>
  <si>
    <t>军事理论</t>
    <phoneticPr fontId="1" type="noConversion"/>
  </si>
  <si>
    <t>大学物理实验（一）</t>
    <phoneticPr fontId="1" type="noConversion"/>
  </si>
  <si>
    <t>概率论与数理统计</t>
    <phoneticPr fontId="1" type="noConversion"/>
  </si>
  <si>
    <t>中国近现代史纲要</t>
    <phoneticPr fontId="1" type="noConversion"/>
  </si>
  <si>
    <t>工程伦理与工程认识</t>
    <phoneticPr fontId="1" type="noConversion"/>
  </si>
  <si>
    <t>体育（一）</t>
    <phoneticPr fontId="1" type="noConversion"/>
  </si>
  <si>
    <t>大学英语（二）</t>
    <phoneticPr fontId="1" type="noConversion"/>
  </si>
  <si>
    <t>大学英语（一）</t>
    <phoneticPr fontId="1" type="noConversion"/>
  </si>
  <si>
    <t>线性代数与空间解析几何A</t>
    <phoneticPr fontId="1" type="noConversion"/>
  </si>
  <si>
    <t>思想道德与法治</t>
    <phoneticPr fontId="1" type="noConversion"/>
  </si>
  <si>
    <t>均分</t>
    <phoneticPr fontId="1" type="noConversion"/>
  </si>
  <si>
    <t>大一下</t>
    <phoneticPr fontId="1" type="noConversion"/>
  </si>
  <si>
    <t>大一上</t>
    <phoneticPr fontId="1" type="noConversion"/>
  </si>
  <si>
    <t>标准均分</t>
    <phoneticPr fontId="1" type="noConversion"/>
  </si>
  <si>
    <t>百分制</t>
    <phoneticPr fontId="1" type="noConversion"/>
  </si>
  <si>
    <t>标准百分</t>
    <phoneticPr fontId="1" type="noConversion"/>
  </si>
  <si>
    <t>A+B+C≥6</t>
    <phoneticPr fontId="1" type="noConversion"/>
  </si>
  <si>
    <t>F≥2</t>
    <phoneticPr fontId="1" type="noConversion"/>
  </si>
  <si>
    <t>大二上</t>
    <phoneticPr fontId="1" type="noConversion"/>
  </si>
  <si>
    <t>大学物理实验（二）</t>
    <phoneticPr fontId="1" type="noConversion"/>
  </si>
  <si>
    <t>离散数学</t>
    <phoneticPr fontId="1" type="noConversion"/>
  </si>
  <si>
    <t>理论力学B</t>
    <phoneticPr fontId="1" type="noConversion"/>
  </si>
  <si>
    <t>数据结构</t>
    <phoneticPr fontId="1" type="noConversion"/>
  </si>
  <si>
    <t>电路基础</t>
    <phoneticPr fontId="1" type="noConversion"/>
  </si>
  <si>
    <t>环境保护与可持续发展</t>
    <phoneticPr fontId="1" type="noConversion"/>
  </si>
  <si>
    <t>大学英语（三）</t>
    <phoneticPr fontId="1" type="noConversion"/>
  </si>
  <si>
    <t>大学物理（二）</t>
    <phoneticPr fontId="1" type="noConversion"/>
  </si>
  <si>
    <t>马克思主义基本原理概论</t>
    <phoneticPr fontId="1" type="noConversion"/>
  </si>
  <si>
    <t>复变函数</t>
    <phoneticPr fontId="1" type="noConversion"/>
  </si>
  <si>
    <t>大二下</t>
    <phoneticPr fontId="1" type="noConversion"/>
  </si>
  <si>
    <t>计算机组成原理</t>
    <phoneticPr fontId="1" type="noConversion"/>
  </si>
  <si>
    <t>体育（二）</t>
    <phoneticPr fontId="1" type="noConversion"/>
  </si>
  <si>
    <t>计算机网络</t>
    <phoneticPr fontId="1" type="noConversion"/>
  </si>
  <si>
    <t>毛泽东思想与中国特色社会主义理论体系概论</t>
    <phoneticPr fontId="1" type="noConversion"/>
  </si>
  <si>
    <t>机械设计基础B</t>
    <phoneticPr fontId="1" type="noConversion"/>
  </si>
  <si>
    <t>大学英语（四）</t>
    <phoneticPr fontId="1" type="noConversion"/>
  </si>
  <si>
    <t>项目管理与工程经济决策</t>
    <phoneticPr fontId="1" type="noConversion"/>
  </si>
  <si>
    <t>学业要求≥15学分</t>
    <phoneticPr fontId="1" type="noConversion"/>
  </si>
  <si>
    <t>课程名称</t>
    <phoneticPr fontId="1" type="noConversion"/>
  </si>
  <si>
    <t>目前已修</t>
    <phoneticPr fontId="1" type="noConversion"/>
  </si>
  <si>
    <t>完成情况</t>
    <phoneticPr fontId="1" type="noConversion"/>
  </si>
  <si>
    <t>必修学分</t>
    <phoneticPr fontId="1" type="noConversion"/>
  </si>
  <si>
    <t>已完成</t>
    <phoneticPr fontId="1" type="noConversion"/>
  </si>
  <si>
    <t>目前均分</t>
    <phoneticPr fontId="1" type="noConversion"/>
  </si>
  <si>
    <t>上限均分</t>
    <phoneticPr fontId="1" type="noConversion"/>
  </si>
  <si>
    <t>-</t>
    <phoneticPr fontId="1" type="noConversion"/>
  </si>
  <si>
    <t>必修课程记录（一）</t>
    <phoneticPr fontId="1" type="noConversion"/>
  </si>
  <si>
    <t>必修课程记录（二）</t>
    <phoneticPr fontId="1" type="noConversion"/>
  </si>
  <si>
    <t>大三上</t>
    <phoneticPr fontId="1" type="noConversion"/>
  </si>
  <si>
    <t xml:space="preserve">加分情况
</t>
    <phoneticPr fontId="1" type="noConversion"/>
  </si>
  <si>
    <t>CSP认证加分</t>
    <phoneticPr fontId="1" type="noConversion"/>
  </si>
  <si>
    <t xml:space="preserve">评奖加分（≤0.5分） </t>
    <phoneticPr fontId="1" type="noConversion"/>
  </si>
  <si>
    <t>数据库原理</t>
    <phoneticPr fontId="1" type="noConversion"/>
  </si>
  <si>
    <t>数据安全课程设计</t>
    <phoneticPr fontId="1" type="noConversion"/>
  </si>
  <si>
    <t>形势与政策</t>
    <phoneticPr fontId="1" type="noConversion"/>
  </si>
  <si>
    <t>计算机硬件综合课程设计</t>
    <phoneticPr fontId="1" type="noConversion"/>
  </si>
  <si>
    <t>工程实践</t>
    <phoneticPr fontId="1" type="noConversion"/>
  </si>
  <si>
    <t>习近平新时代中国特色社会主义思想概论</t>
    <phoneticPr fontId="1" type="noConversion"/>
  </si>
  <si>
    <t>操作系统</t>
    <phoneticPr fontId="1" type="noConversion"/>
  </si>
  <si>
    <t>现代密码学</t>
    <phoneticPr fontId="1" type="noConversion"/>
  </si>
  <si>
    <t>毕业学分要求:本专业学生必须修满165学分
其中必修课程138学分，专业选修课程15学分，通识教育选修课程12学分.</t>
    <phoneticPr fontId="1" type="noConversion"/>
  </si>
  <si>
    <t>必修</t>
    <phoneticPr fontId="1" type="noConversion"/>
  </si>
  <si>
    <t>专选</t>
    <phoneticPr fontId="1" type="noConversion"/>
  </si>
  <si>
    <t>选修</t>
    <phoneticPr fontId="1" type="noConversion"/>
  </si>
  <si>
    <t>已修</t>
    <phoneticPr fontId="1" type="noConversion"/>
  </si>
  <si>
    <t>完成度</t>
    <phoneticPr fontId="1" type="noConversion"/>
  </si>
  <si>
    <t>——————————</t>
    <phoneticPr fontId="1" type="noConversion"/>
  </si>
  <si>
    <t>———————————————</t>
    <phoneticPr fontId="1" type="noConversion"/>
  </si>
  <si>
    <t>渗透测试课程设计</t>
    <phoneticPr fontId="1" type="noConversion"/>
  </si>
  <si>
    <t>信息内容安全</t>
    <phoneticPr fontId="1" type="noConversion"/>
  </si>
  <si>
    <t>网络与系统安全</t>
    <phoneticPr fontId="1" type="noConversion"/>
  </si>
  <si>
    <t>大三下</t>
    <phoneticPr fontId="1" type="noConversion"/>
  </si>
  <si>
    <t>体育（三）</t>
    <phoneticPr fontId="1" type="noConversion"/>
  </si>
  <si>
    <t>*以上总计加分不应超过2分</t>
    <phoneticPr fontId="1" type="noConversion"/>
  </si>
  <si>
    <t>竞赛加分</t>
    <phoneticPr fontId="1" type="noConversion"/>
  </si>
  <si>
    <t>信息安全综合课程设计</t>
    <phoneticPr fontId="1" type="noConversion"/>
  </si>
  <si>
    <t>毕业实习</t>
    <phoneticPr fontId="1" type="noConversion"/>
  </si>
  <si>
    <t>大四上&amp;下</t>
    <phoneticPr fontId="1" type="noConversion"/>
  </si>
  <si>
    <t>毕业设计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</si>
</sst>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等线"/>
      <family val="2"/>
      <scheme val="minor"/>
    </font>
    <font>
      <sz val="18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theme="1" tint="4.9989318521683403E-2"/>
      <name val="等线"/>
      <family val="2"/>
      <scheme val="minor"/>
    </font>
    <font>
      <sz val="11"/>
      <color rgb="FF333333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b/>
      <sz val="22"/>
      <color theme="1"/>
      <name val="等线"/>
      <family val="3"/>
      <charset val="134"/>
      <scheme val="minor"/>
    </font>
    <font>
      <sz val="11"/>
      <color theme="3" tint="-0.249977111117893"/>
      <name val="等线"/>
      <family val="2"/>
      <scheme val="minor"/>
    </font>
    <font>
      <sz val="11"/>
      <color theme="3" tint="-0.249977111117893"/>
      <name val="等线"/>
      <family val="3"/>
      <charset val="134"/>
      <scheme val="minor"/>
    </font>
    <font>
      <sz val="11"/>
      <color theme="5" tint="-0.249977111117893"/>
      <name val="等线"/>
      <family val="2"/>
      <scheme val="minor"/>
    </font>
    <font>
      <sz val="11"/>
      <color theme="5" tint="-0.249977111117893"/>
      <name val="等线"/>
      <family val="3"/>
      <charset val="134"/>
      <scheme val="minor"/>
    </font>
    <font>
      <sz val="11"/>
      <color theme="9" tint="-0.249977111117893"/>
      <name val="等线"/>
      <family val="2"/>
      <scheme val="minor"/>
    </font>
    <font>
      <sz val="12"/>
      <color theme="1"/>
      <name val="等线"/>
      <family val="2"/>
      <scheme val="minor"/>
    </font>
    <font>
      <sz val="16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b/>
      <sz val="9"/>
      <color theme="1"/>
      <name val="等线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00"/>
        <bgColor indexed="64"/>
      </patternFill>
    </fill>
  </fills>
  <borders count="6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theme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0" fillId="6" borderId="6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13" borderId="34" xfId="0" applyFill="1" applyBorder="1" applyAlignment="1">
      <alignment horizontal="center" vertical="center"/>
    </xf>
    <xf numFmtId="0" fontId="0" fillId="13" borderId="58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13" borderId="21" xfId="0" applyFont="1" applyFill="1" applyBorder="1" applyAlignment="1">
      <alignment horizontal="center" vertical="center"/>
    </xf>
    <xf numFmtId="0" fontId="9" fillId="13" borderId="34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0" fontId="16" fillId="0" borderId="55" xfId="0" applyNumberFormat="1" applyFont="1" applyBorder="1" applyAlignment="1">
      <alignment horizontal="center" vertical="center"/>
    </xf>
    <xf numFmtId="10" fontId="16" fillId="0" borderId="56" xfId="0" applyNumberFormat="1" applyFont="1" applyBorder="1" applyAlignment="1">
      <alignment horizontal="center" vertical="center"/>
    </xf>
    <xf numFmtId="10" fontId="16" fillId="0" borderId="57" xfId="0" applyNumberFormat="1" applyFont="1" applyBorder="1" applyAlignment="1">
      <alignment horizontal="center" vertical="center"/>
    </xf>
    <xf numFmtId="0" fontId="17" fillId="13" borderId="32" xfId="0" applyFont="1" applyFill="1" applyBorder="1" applyAlignment="1">
      <alignment horizontal="center" vertical="center"/>
    </xf>
    <xf numFmtId="0" fontId="17" fillId="13" borderId="33" xfId="0" applyFont="1" applyFill="1" applyBorder="1" applyAlignment="1">
      <alignment horizontal="center" vertical="center"/>
    </xf>
    <xf numFmtId="0" fontId="17" fillId="13" borderId="48" xfId="0" applyFont="1" applyFill="1" applyBorder="1" applyAlignment="1">
      <alignment horizontal="center" vertical="center"/>
    </xf>
    <xf numFmtId="0" fontId="17" fillId="13" borderId="52" xfId="0" applyFont="1" applyFill="1" applyBorder="1" applyAlignment="1">
      <alignment horizontal="center" vertical="center"/>
    </xf>
    <xf numFmtId="10" fontId="16" fillId="13" borderId="56" xfId="0" applyNumberFormat="1" applyFont="1" applyFill="1" applyBorder="1" applyAlignment="1">
      <alignment horizontal="center" vertical="center"/>
    </xf>
    <xf numFmtId="10" fontId="16" fillId="13" borderId="57" xfId="0" applyNumberFormat="1" applyFont="1" applyFill="1" applyBorder="1" applyAlignment="1">
      <alignment horizontal="center" vertical="center"/>
    </xf>
    <xf numFmtId="0" fontId="0" fillId="13" borderId="41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49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33" xfId="0" applyFill="1" applyBorder="1" applyAlignment="1">
      <alignment horizontal="center" vertical="center"/>
    </xf>
    <xf numFmtId="0" fontId="0" fillId="13" borderId="52" xfId="0" applyFill="1" applyBorder="1" applyAlignment="1">
      <alignment horizontal="center" vertical="center"/>
    </xf>
    <xf numFmtId="0" fontId="0" fillId="13" borderId="31" xfId="0" applyFill="1" applyBorder="1" applyAlignment="1">
      <alignment horizontal="center" vertical="center"/>
    </xf>
    <xf numFmtId="0" fontId="0" fillId="13" borderId="32" xfId="0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0" fillId="13" borderId="22" xfId="0" applyFill="1" applyBorder="1" applyAlignment="1">
      <alignment horizontal="center" vertical="center"/>
    </xf>
    <xf numFmtId="0" fontId="0" fillId="13" borderId="34" xfId="0" applyFill="1" applyBorder="1" applyAlignment="1">
      <alignment horizontal="center" vertical="center"/>
    </xf>
    <xf numFmtId="0" fontId="0" fillId="13" borderId="23" xfId="0" applyFill="1" applyBorder="1" applyAlignment="1">
      <alignment horizontal="center" vertical="center"/>
    </xf>
    <xf numFmtId="0" fontId="0" fillId="13" borderId="24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11" fillId="9" borderId="51" xfId="0" applyFont="1" applyFill="1" applyBorder="1" applyAlignment="1">
      <alignment horizontal="center" vertical="center" wrapText="1"/>
    </xf>
    <xf numFmtId="0" fontId="12" fillId="9" borderId="48" xfId="0" applyFont="1" applyFill="1" applyBorder="1" applyAlignment="1">
      <alignment horizontal="center" vertical="center" wrapText="1"/>
    </xf>
    <xf numFmtId="0" fontId="12" fillId="9" borderId="52" xfId="0" applyFont="1" applyFill="1" applyBorder="1" applyAlignment="1">
      <alignment horizontal="center" vertical="center" wrapText="1"/>
    </xf>
    <xf numFmtId="0" fontId="12" fillId="9" borderId="53" xfId="0" applyFont="1" applyFill="1" applyBorder="1" applyAlignment="1">
      <alignment horizontal="center" vertical="center" wrapText="1"/>
    </xf>
    <xf numFmtId="0" fontId="12" fillId="9" borderId="47" xfId="0" applyFont="1" applyFill="1" applyBorder="1" applyAlignment="1">
      <alignment horizontal="center" vertical="center" wrapText="1"/>
    </xf>
    <xf numFmtId="0" fontId="12" fillId="9" borderId="54" xfId="0" applyFont="1" applyFill="1" applyBorder="1" applyAlignment="1">
      <alignment horizontal="center" vertical="center" wrapText="1"/>
    </xf>
    <xf numFmtId="0" fontId="0" fillId="11" borderId="53" xfId="0" applyFill="1" applyBorder="1" applyAlignment="1">
      <alignment horizontal="center" vertical="center" wrapText="1"/>
    </xf>
    <xf numFmtId="0" fontId="0" fillId="11" borderId="47" xfId="0" applyFill="1" applyBorder="1" applyAlignment="1">
      <alignment horizontal="center" vertical="center" wrapText="1"/>
    </xf>
    <xf numFmtId="0" fontId="0" fillId="11" borderId="54" xfId="0" applyFill="1" applyBorder="1" applyAlignment="1">
      <alignment horizontal="center" vertical="center" wrapText="1"/>
    </xf>
    <xf numFmtId="0" fontId="0" fillId="10" borderId="44" xfId="0" applyFill="1" applyBorder="1" applyAlignment="1">
      <alignment horizontal="center" vertical="center"/>
    </xf>
    <xf numFmtId="0" fontId="0" fillId="10" borderId="38" xfId="0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0" fontId="0" fillId="12" borderId="53" xfId="0" applyFill="1" applyBorder="1" applyAlignment="1">
      <alignment horizontal="center" vertical="center" wrapText="1"/>
    </xf>
    <xf numFmtId="0" fontId="0" fillId="12" borderId="47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 wrapText="1"/>
    </xf>
    <xf numFmtId="0" fontId="14" fillId="0" borderId="60" xfId="0" applyFont="1" applyBorder="1" applyAlignment="1">
      <alignment horizontal="center" vertical="center" wrapText="1"/>
    </xf>
    <xf numFmtId="0" fontId="14" fillId="0" borderId="64" xfId="0" applyFont="1" applyBorder="1" applyAlignment="1">
      <alignment horizontal="center" vertical="center" wrapText="1"/>
    </xf>
    <xf numFmtId="0" fontId="14" fillId="0" borderId="65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0" fontId="0" fillId="0" borderId="35" xfId="0" applyNumberFormat="1" applyBorder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10" fontId="0" fillId="0" borderId="37" xfId="0" applyNumberForma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E9EB-849F-4CEB-943D-53BE1080036C}">
  <dimension ref="F3:P14"/>
  <sheetViews>
    <sheetView topLeftCell="E4" workbookViewId="0">
      <selection activeCell="F12" sqref="F12:F14"/>
    </sheetView>
  </sheetViews>
  <sheetFormatPr defaultRowHeight="14.25" x14ac:dyDescent="0.2"/>
  <cols>
    <col min="7" max="7" width="11" customWidth="1"/>
    <col min="8" max="10" width="8.875" customWidth="1"/>
  </cols>
  <sheetData>
    <row r="3" spans="6:16" ht="15" thickBot="1" x14ac:dyDescent="0.25"/>
    <row r="4" spans="6:16" ht="36.6" customHeight="1" x14ac:dyDescent="0.2">
      <c r="F4" s="105" t="s">
        <v>83</v>
      </c>
      <c r="G4" s="106"/>
      <c r="H4" s="106"/>
      <c r="I4" s="106"/>
      <c r="J4" s="106"/>
      <c r="K4" s="106"/>
      <c r="L4" s="106"/>
      <c r="M4" s="106"/>
      <c r="N4" s="106"/>
      <c r="O4" s="106"/>
      <c r="P4" s="107"/>
    </row>
    <row r="5" spans="6:16" ht="48.6" customHeight="1" thickBot="1" x14ac:dyDescent="0.25">
      <c r="F5" s="108"/>
      <c r="G5" s="109"/>
      <c r="H5" s="109"/>
      <c r="I5" s="109"/>
      <c r="J5" s="109"/>
      <c r="K5" s="109"/>
      <c r="L5" s="109"/>
      <c r="M5" s="109"/>
      <c r="N5" s="109"/>
      <c r="O5" s="109"/>
      <c r="P5" s="110"/>
    </row>
    <row r="6" spans="6:16" ht="13.9" customHeight="1" x14ac:dyDescent="0.2">
      <c r="F6" s="111" t="s">
        <v>84</v>
      </c>
      <c r="G6" s="116" t="s">
        <v>87</v>
      </c>
      <c r="H6" s="117"/>
      <c r="I6" s="118"/>
      <c r="J6" s="125" t="s">
        <v>90</v>
      </c>
      <c r="K6" s="125"/>
      <c r="L6" s="125"/>
      <c r="M6" s="125"/>
      <c r="N6" s="116" t="s">
        <v>88</v>
      </c>
      <c r="O6" s="117"/>
      <c r="P6" s="118"/>
    </row>
    <row r="7" spans="6:16" ht="13.9" customHeight="1" x14ac:dyDescent="0.2">
      <c r="F7" s="111"/>
      <c r="G7" s="119"/>
      <c r="H7" s="120"/>
      <c r="I7" s="121"/>
      <c r="J7" s="126"/>
      <c r="K7" s="126"/>
      <c r="L7" s="126"/>
      <c r="M7" s="126"/>
      <c r="N7" s="119"/>
      <c r="O7" s="120"/>
      <c r="P7" s="121"/>
    </row>
    <row r="8" spans="6:16" ht="24.6" customHeight="1" thickBot="1" x14ac:dyDescent="0.25">
      <c r="F8" s="111"/>
      <c r="G8" s="122">
        <f>必修!L11</f>
        <v>0</v>
      </c>
      <c r="H8" s="123"/>
      <c r="I8" s="124"/>
      <c r="J8" s="127"/>
      <c r="K8" s="127"/>
      <c r="L8" s="127"/>
      <c r="M8" s="127"/>
      <c r="N8" s="128">
        <f>G8/138</f>
        <v>0</v>
      </c>
      <c r="O8" s="129"/>
      <c r="P8" s="130"/>
    </row>
    <row r="9" spans="6:16" x14ac:dyDescent="0.2">
      <c r="F9" s="112" t="s">
        <v>85</v>
      </c>
      <c r="G9" s="151" t="s">
        <v>87</v>
      </c>
      <c r="H9" s="125"/>
      <c r="I9" s="152"/>
      <c r="J9" s="151" t="s">
        <v>90</v>
      </c>
      <c r="K9" s="125"/>
      <c r="L9" s="125"/>
      <c r="M9" s="152"/>
      <c r="N9" s="116" t="s">
        <v>88</v>
      </c>
      <c r="O9" s="117"/>
      <c r="P9" s="118"/>
    </row>
    <row r="10" spans="6:16" x14ac:dyDescent="0.2">
      <c r="F10" s="111"/>
      <c r="G10" s="153"/>
      <c r="H10" s="154"/>
      <c r="I10" s="155"/>
      <c r="J10" s="159"/>
      <c r="K10" s="126"/>
      <c r="L10" s="126"/>
      <c r="M10" s="160"/>
      <c r="N10" s="119"/>
      <c r="O10" s="120"/>
      <c r="P10" s="121"/>
    </row>
    <row r="11" spans="6:16" ht="24.6" customHeight="1" thickBot="1" x14ac:dyDescent="0.25">
      <c r="F11" s="113"/>
      <c r="G11" s="156">
        <v>3.5</v>
      </c>
      <c r="H11" s="157"/>
      <c r="I11" s="158"/>
      <c r="J11" s="161"/>
      <c r="K11" s="127"/>
      <c r="L11" s="127"/>
      <c r="M11" s="162"/>
      <c r="N11" s="163">
        <f>G11/15</f>
        <v>0.23333333333333334</v>
      </c>
      <c r="O11" s="164"/>
      <c r="P11" s="165"/>
    </row>
    <row r="12" spans="6:16" x14ac:dyDescent="0.2">
      <c r="F12" s="114" t="s">
        <v>86</v>
      </c>
      <c r="G12" s="137" t="s">
        <v>39</v>
      </c>
      <c r="H12" s="139" t="s">
        <v>2</v>
      </c>
      <c r="I12" s="139" t="s">
        <v>40</v>
      </c>
      <c r="J12" s="141" t="s">
        <v>0</v>
      </c>
      <c r="K12" s="143" t="s">
        <v>89</v>
      </c>
      <c r="L12" s="144"/>
      <c r="M12" s="141"/>
      <c r="N12" s="131" t="s">
        <v>88</v>
      </c>
      <c r="O12" s="131"/>
      <c r="P12" s="132"/>
    </row>
    <row r="13" spans="6:16" x14ac:dyDescent="0.2">
      <c r="F13" s="114"/>
      <c r="G13" s="138"/>
      <c r="H13" s="140"/>
      <c r="I13" s="140"/>
      <c r="J13" s="142"/>
      <c r="K13" s="145"/>
      <c r="L13" s="146"/>
      <c r="M13" s="147"/>
      <c r="N13" s="133"/>
      <c r="O13" s="133"/>
      <c r="P13" s="134"/>
    </row>
    <row r="14" spans="6:16" ht="24.6" customHeight="1" thickBot="1" x14ac:dyDescent="0.25">
      <c r="F14" s="115"/>
      <c r="G14" s="77" t="s">
        <v>15</v>
      </c>
      <c r="H14" s="78" t="s">
        <v>15</v>
      </c>
      <c r="I14" s="78" t="s">
        <v>15</v>
      </c>
      <c r="J14" s="79" t="s">
        <v>15</v>
      </c>
      <c r="K14" s="148"/>
      <c r="L14" s="149"/>
      <c r="M14" s="150"/>
      <c r="N14" s="135">
        <v>1</v>
      </c>
      <c r="O14" s="135"/>
      <c r="P14" s="136"/>
    </row>
  </sheetData>
  <mergeCells count="21">
    <mergeCell ref="G9:I10"/>
    <mergeCell ref="G11:I11"/>
    <mergeCell ref="J9:M11"/>
    <mergeCell ref="N9:P10"/>
    <mergeCell ref="N11:P11"/>
    <mergeCell ref="F4:P5"/>
    <mergeCell ref="F6:F8"/>
    <mergeCell ref="F9:F11"/>
    <mergeCell ref="F12:F14"/>
    <mergeCell ref="G6:I7"/>
    <mergeCell ref="G8:I8"/>
    <mergeCell ref="J6:M8"/>
    <mergeCell ref="N6:P7"/>
    <mergeCell ref="N8:P8"/>
    <mergeCell ref="N12:P13"/>
    <mergeCell ref="N14:P14"/>
    <mergeCell ref="G12:G13"/>
    <mergeCell ref="H12:H13"/>
    <mergeCell ref="I12:I13"/>
    <mergeCell ref="J12:J13"/>
    <mergeCell ref="K12:M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86736-936C-48BA-9782-020020A84BAF}">
  <dimension ref="B1:V51"/>
  <sheetViews>
    <sheetView tabSelected="1" zoomScale="85" zoomScaleNormal="85" workbookViewId="0">
      <selection activeCell="Z17" sqref="Z17"/>
    </sheetView>
  </sheetViews>
  <sheetFormatPr defaultColWidth="9" defaultRowHeight="14.25" x14ac:dyDescent="0.2"/>
  <cols>
    <col min="1" max="1" width="8.25" style="38" customWidth="1"/>
    <col min="2" max="2" width="9" style="38" customWidth="1"/>
    <col min="3" max="5" width="9" style="38"/>
    <col min="6" max="6" width="22.5" style="38" customWidth="1"/>
    <col min="7" max="8" width="9" style="38"/>
    <col min="9" max="10" width="6.125" style="38" customWidth="1"/>
    <col min="11" max="13" width="10.5" style="38" customWidth="1"/>
    <col min="14" max="14" width="7.375" style="38" customWidth="1"/>
    <col min="15" max="15" width="6.5" style="38" customWidth="1"/>
    <col min="16" max="16" width="9.625" style="38" customWidth="1"/>
    <col min="17" max="17" width="7.875" style="38" customWidth="1"/>
    <col min="18" max="19" width="8.125" style="38" customWidth="1"/>
    <col min="20" max="20" width="34.75" style="38" customWidth="1"/>
    <col min="21" max="22" width="9" style="38"/>
    <col min="23" max="23" width="8.25" style="38" customWidth="1"/>
    <col min="24" max="16384" width="9" style="38"/>
  </cols>
  <sheetData>
    <row r="1" spans="2:22" ht="15" customHeight="1" thickBot="1" x14ac:dyDescent="0.25"/>
    <row r="2" spans="2:22" ht="32.25" customHeight="1" x14ac:dyDescent="0.2">
      <c r="B2" s="166" t="s">
        <v>69</v>
      </c>
      <c r="C2" s="167"/>
      <c r="D2" s="167"/>
      <c r="E2" s="167"/>
      <c r="F2" s="167"/>
      <c r="G2" s="167"/>
      <c r="H2" s="168"/>
      <c r="P2" s="166" t="s">
        <v>70</v>
      </c>
      <c r="Q2" s="167"/>
      <c r="R2" s="167"/>
      <c r="S2" s="167"/>
      <c r="T2" s="167"/>
      <c r="U2" s="167"/>
      <c r="V2" s="168"/>
    </row>
    <row r="3" spans="2:22" ht="15" customHeight="1" thickBot="1" x14ac:dyDescent="0.25">
      <c r="B3" s="169"/>
      <c r="C3" s="170"/>
      <c r="D3" s="170"/>
      <c r="E3" s="170"/>
      <c r="F3" s="170"/>
      <c r="G3" s="170"/>
      <c r="H3" s="171"/>
      <c r="P3" s="169"/>
      <c r="Q3" s="170"/>
      <c r="R3" s="170"/>
      <c r="S3" s="170"/>
      <c r="T3" s="170"/>
      <c r="U3" s="170"/>
      <c r="V3" s="171"/>
    </row>
    <row r="4" spans="2:22" ht="24" customHeight="1" thickBot="1" x14ac:dyDescent="0.25">
      <c r="B4" s="26" t="s">
        <v>33</v>
      </c>
      <c r="C4" s="27" t="s">
        <v>36</v>
      </c>
      <c r="D4" s="28" t="s">
        <v>37</v>
      </c>
      <c r="E4" s="27" t="s">
        <v>38</v>
      </c>
      <c r="F4" s="29" t="s">
        <v>61</v>
      </c>
      <c r="G4" s="30" t="s">
        <v>10</v>
      </c>
      <c r="H4" s="30" t="s">
        <v>11</v>
      </c>
      <c r="K4" s="199" t="s">
        <v>63</v>
      </c>
      <c r="L4" s="200"/>
      <c r="M4" s="201"/>
      <c r="P4" s="26" t="s">
        <v>33</v>
      </c>
      <c r="Q4" s="27" t="s">
        <v>36</v>
      </c>
      <c r="R4" s="28" t="s">
        <v>37</v>
      </c>
      <c r="S4" s="27" t="s">
        <v>38</v>
      </c>
      <c r="T4" s="29" t="s">
        <v>61</v>
      </c>
      <c r="U4" s="30" t="s">
        <v>10</v>
      </c>
      <c r="V4" s="30" t="s">
        <v>11</v>
      </c>
    </row>
    <row r="5" spans="2:22" ht="15" customHeight="1" thickBot="1" x14ac:dyDescent="0.25">
      <c r="B5" s="40"/>
      <c r="C5" s="41"/>
      <c r="D5" s="41"/>
      <c r="E5" s="41"/>
      <c r="F5" s="41"/>
      <c r="G5" s="41"/>
      <c r="H5" s="42"/>
      <c r="K5" s="202">
        <f>L11/L8</f>
        <v>0</v>
      </c>
      <c r="L5" s="203"/>
      <c r="M5" s="204"/>
      <c r="P5" s="40"/>
      <c r="Q5" s="41"/>
      <c r="R5" s="41"/>
      <c r="S5" s="41"/>
      <c r="T5" s="41"/>
      <c r="U5" s="41"/>
      <c r="V5" s="42"/>
    </row>
    <row r="6" spans="2:22" ht="24" customHeight="1" x14ac:dyDescent="0.2">
      <c r="B6" s="43">
        <f>(G6/119)*D6</f>
        <v>0</v>
      </c>
      <c r="C6" s="85">
        <f>(G6/119)*100</f>
        <v>14.285714285714285</v>
      </c>
      <c r="D6" s="44">
        <f>SUM(D7,D8:D13)</f>
        <v>0</v>
      </c>
      <c r="E6" s="45">
        <f>SUM(E7:E13)</f>
        <v>100</v>
      </c>
      <c r="F6" s="46" t="s">
        <v>35</v>
      </c>
      <c r="G6" s="47">
        <f>SUM(G7:G13)</f>
        <v>17</v>
      </c>
      <c r="H6" s="48">
        <f>D6</f>
        <v>0</v>
      </c>
      <c r="K6" s="14"/>
      <c r="L6" s="19"/>
      <c r="M6" s="20"/>
      <c r="P6" s="49">
        <f>SUM(P7:P13)</f>
        <v>0</v>
      </c>
      <c r="Q6" s="50">
        <f>SUM(Q7:Q13)</f>
        <v>12.184873949579833</v>
      </c>
      <c r="R6" s="44">
        <f>SUM(R7:R13)</f>
        <v>0</v>
      </c>
      <c r="S6" s="45">
        <v>100</v>
      </c>
      <c r="T6" s="46" t="s">
        <v>52</v>
      </c>
      <c r="U6" s="51">
        <f>SUM(U7:U13)</f>
        <v>14.5</v>
      </c>
      <c r="V6" s="52">
        <f>R6</f>
        <v>0</v>
      </c>
    </row>
    <row r="7" spans="2:22" ht="19.5" customHeight="1" x14ac:dyDescent="0.2">
      <c r="B7" s="86">
        <f>H7*G7/119</f>
        <v>0</v>
      </c>
      <c r="C7" s="38">
        <f>G7/119*100</f>
        <v>1.680672268907563</v>
      </c>
      <c r="D7" s="7">
        <f>(G7/G6)*H7</f>
        <v>0</v>
      </c>
      <c r="E7" s="7">
        <f t="shared" ref="E7:E13" si="0">(G7/17)*100</f>
        <v>11.76470588235294</v>
      </c>
      <c r="F7" s="8" t="s">
        <v>12</v>
      </c>
      <c r="G7" s="93">
        <v>2</v>
      </c>
      <c r="H7" s="9"/>
      <c r="K7" s="75"/>
      <c r="L7" s="24" t="s">
        <v>64</v>
      </c>
      <c r="M7" s="21"/>
      <c r="P7" s="6">
        <f>U7/119*V7</f>
        <v>0</v>
      </c>
      <c r="Q7" s="7">
        <f>U7/119*100</f>
        <v>2.9411764705882351</v>
      </c>
      <c r="R7" s="10">
        <f t="shared" ref="R7:R10" si="1">U7/14.5*V7</f>
        <v>0</v>
      </c>
      <c r="S7" s="7">
        <f t="shared" ref="S7:S13" si="2">(U7/14.5)*100</f>
        <v>24.137931034482758</v>
      </c>
      <c r="T7" s="7" t="s">
        <v>53</v>
      </c>
      <c r="U7" s="97">
        <v>3.5</v>
      </c>
      <c r="V7" s="9"/>
    </row>
    <row r="8" spans="2:22" ht="15.75" customHeight="1" x14ac:dyDescent="0.2">
      <c r="B8" s="80">
        <f>G8*H8/119</f>
        <v>0</v>
      </c>
      <c r="C8" s="38">
        <f t="shared" ref="C8:C13" si="3">G8/119*100</f>
        <v>0.84033613445378152</v>
      </c>
      <c r="D8" s="7">
        <f>(G8/G6)*H8</f>
        <v>0</v>
      </c>
      <c r="E8" s="7">
        <f t="shared" si="0"/>
        <v>5.8823529411764701</v>
      </c>
      <c r="F8" s="10" t="s">
        <v>16</v>
      </c>
      <c r="G8" s="94">
        <v>1</v>
      </c>
      <c r="H8" s="9"/>
      <c r="K8" s="15"/>
      <c r="L8" s="23">
        <f>G6+G15+G28+U6+U15+U28</f>
        <v>119</v>
      </c>
      <c r="M8" s="21"/>
      <c r="P8" s="6">
        <f t="shared" ref="P8:P13" si="4">U8/119*V8</f>
        <v>0</v>
      </c>
      <c r="Q8" s="7">
        <f t="shared" ref="Q8:Q13" si="5">U8/119*100</f>
        <v>0.84033613445378152</v>
      </c>
      <c r="R8" s="10">
        <f t="shared" si="1"/>
        <v>0</v>
      </c>
      <c r="S8" s="7">
        <f t="shared" si="2"/>
        <v>6.8965517241379306</v>
      </c>
      <c r="T8" s="7" t="s">
        <v>54</v>
      </c>
      <c r="U8" s="97">
        <v>1</v>
      </c>
      <c r="V8" s="9"/>
    </row>
    <row r="9" spans="2:22" x14ac:dyDescent="0.2">
      <c r="B9" s="87">
        <f t="shared" ref="B9:B13" si="6">G9*H9/119</f>
        <v>0</v>
      </c>
      <c r="C9" s="38">
        <f t="shared" si="3"/>
        <v>0.84033613445378152</v>
      </c>
      <c r="D9" s="7">
        <f>(G9/G6)*H9</f>
        <v>0</v>
      </c>
      <c r="E9" s="7">
        <f t="shared" si="0"/>
        <v>5.8823529411764701</v>
      </c>
      <c r="F9" s="10" t="s">
        <v>18</v>
      </c>
      <c r="G9" s="94">
        <v>1</v>
      </c>
      <c r="H9" s="9"/>
      <c r="K9" s="15"/>
      <c r="L9" s="22"/>
      <c r="M9" s="21"/>
      <c r="P9" s="6">
        <f t="shared" si="4"/>
        <v>0</v>
      </c>
      <c r="Q9" s="7">
        <f t="shared" si="5"/>
        <v>2.5210084033613445</v>
      </c>
      <c r="R9" s="10">
        <f t="shared" si="1"/>
        <v>0</v>
      </c>
      <c r="S9" s="7">
        <f t="shared" si="2"/>
        <v>20.689655172413794</v>
      </c>
      <c r="T9" s="7" t="s">
        <v>55</v>
      </c>
      <c r="U9" s="97">
        <v>3</v>
      </c>
      <c r="V9" s="9"/>
    </row>
    <row r="10" spans="2:22" ht="18" customHeight="1" x14ac:dyDescent="0.2">
      <c r="B10" s="87">
        <f t="shared" si="6"/>
        <v>0</v>
      </c>
      <c r="C10" s="38">
        <f t="shared" si="3"/>
        <v>3.7815126050420167</v>
      </c>
      <c r="D10" s="7">
        <f>(G10/G6)*H10</f>
        <v>0</v>
      </c>
      <c r="E10" s="7">
        <f t="shared" si="0"/>
        <v>26.47058823529412</v>
      </c>
      <c r="F10" s="10" t="s">
        <v>17</v>
      </c>
      <c r="G10" s="94">
        <v>4.5</v>
      </c>
      <c r="H10" s="9"/>
      <c r="K10" s="15"/>
      <c r="L10" s="24" t="s">
        <v>65</v>
      </c>
      <c r="M10" s="21"/>
      <c r="P10" s="6">
        <f t="shared" si="4"/>
        <v>0</v>
      </c>
      <c r="Q10" s="7">
        <f t="shared" si="5"/>
        <v>2.5210084033613445</v>
      </c>
      <c r="R10" s="10">
        <f t="shared" si="1"/>
        <v>0</v>
      </c>
      <c r="S10" s="7">
        <f t="shared" si="2"/>
        <v>20.689655172413794</v>
      </c>
      <c r="T10" s="7" t="s">
        <v>56</v>
      </c>
      <c r="U10" s="100">
        <v>3</v>
      </c>
      <c r="V10" s="9"/>
    </row>
    <row r="11" spans="2:22" x14ac:dyDescent="0.2">
      <c r="B11" s="87">
        <f t="shared" si="6"/>
        <v>0</v>
      </c>
      <c r="C11" s="38">
        <f t="shared" si="3"/>
        <v>2.9411764705882351</v>
      </c>
      <c r="D11" s="7">
        <f>(G11/G6)*H11</f>
        <v>0</v>
      </c>
      <c r="E11" s="7">
        <f t="shared" si="0"/>
        <v>20.588235294117645</v>
      </c>
      <c r="F11" s="10" t="s">
        <v>31</v>
      </c>
      <c r="G11" s="94">
        <v>3.5</v>
      </c>
      <c r="H11" s="9"/>
      <c r="K11" s="15"/>
      <c r="L11" s="23">
        <v>0</v>
      </c>
      <c r="M11" s="21"/>
      <c r="P11" s="6">
        <f t="shared" si="4"/>
        <v>0</v>
      </c>
      <c r="Q11" s="7">
        <f t="shared" si="5"/>
        <v>1.680672268907563</v>
      </c>
      <c r="R11" s="10">
        <f>U11/14.5*V11</f>
        <v>0</v>
      </c>
      <c r="S11" s="7">
        <f t="shared" si="2"/>
        <v>13.793103448275861</v>
      </c>
      <c r="T11" s="7" t="s">
        <v>57</v>
      </c>
      <c r="U11" s="97">
        <v>2</v>
      </c>
      <c r="V11" s="9"/>
    </row>
    <row r="12" spans="2:22" x14ac:dyDescent="0.2">
      <c r="B12" s="87">
        <f t="shared" si="6"/>
        <v>0</v>
      </c>
      <c r="C12" s="38">
        <f t="shared" si="3"/>
        <v>1.680672268907563</v>
      </c>
      <c r="D12" s="7">
        <f>(G12/G6)*H12</f>
        <v>0</v>
      </c>
      <c r="E12" s="7">
        <f t="shared" si="0"/>
        <v>11.76470588235294</v>
      </c>
      <c r="F12" s="10" t="s">
        <v>30</v>
      </c>
      <c r="G12" s="94">
        <v>2</v>
      </c>
      <c r="H12" s="9"/>
      <c r="K12" s="15"/>
      <c r="L12" s="22"/>
      <c r="M12" s="21"/>
      <c r="P12" s="6">
        <f t="shared" si="4"/>
        <v>0</v>
      </c>
      <c r="Q12" s="7">
        <f t="shared" si="5"/>
        <v>1.2605042016806722</v>
      </c>
      <c r="R12" s="10">
        <f t="shared" ref="R12:R13" si="7">U12/14.5*V12</f>
        <v>0</v>
      </c>
      <c r="S12" s="7">
        <f t="shared" si="2"/>
        <v>10.344827586206897</v>
      </c>
      <c r="T12" s="7" t="s">
        <v>58</v>
      </c>
      <c r="U12" s="97">
        <v>1.5</v>
      </c>
      <c r="V12" s="9"/>
    </row>
    <row r="13" spans="2:22" ht="18.75" customHeight="1" thickBot="1" x14ac:dyDescent="0.25">
      <c r="B13" s="87">
        <f t="shared" si="6"/>
        <v>0</v>
      </c>
      <c r="C13" s="38">
        <f t="shared" si="3"/>
        <v>2.5210084033613445</v>
      </c>
      <c r="D13" s="11">
        <f>(G13/G6)*H13</f>
        <v>0</v>
      </c>
      <c r="E13" s="12">
        <f t="shared" si="0"/>
        <v>17.647058823529413</v>
      </c>
      <c r="F13" s="12" t="s">
        <v>32</v>
      </c>
      <c r="G13" s="95">
        <v>3</v>
      </c>
      <c r="H13" s="13"/>
      <c r="K13" s="15"/>
      <c r="L13" s="24" t="s">
        <v>66</v>
      </c>
      <c r="M13" s="21"/>
      <c r="P13" s="6">
        <f t="shared" si="4"/>
        <v>0</v>
      </c>
      <c r="Q13" s="7">
        <f t="shared" si="5"/>
        <v>0.42016806722689076</v>
      </c>
      <c r="R13" s="10">
        <f t="shared" si="7"/>
        <v>0</v>
      </c>
      <c r="S13" s="11">
        <f t="shared" si="2"/>
        <v>3.4482758620689653</v>
      </c>
      <c r="T13" s="11" t="s">
        <v>59</v>
      </c>
      <c r="U13" s="98">
        <v>0.5</v>
      </c>
      <c r="V13" s="13"/>
    </row>
    <row r="14" spans="2:22" ht="15" thickBot="1" x14ac:dyDescent="0.25">
      <c r="B14" s="26"/>
      <c r="C14" s="28"/>
      <c r="D14" s="28"/>
      <c r="E14" s="28"/>
      <c r="F14" s="28"/>
      <c r="G14" s="28"/>
      <c r="H14" s="39"/>
      <c r="K14" s="15"/>
      <c r="L14" s="23">
        <f>SUM(B6,B15,B28,P6,P15,P28)</f>
        <v>0</v>
      </c>
      <c r="M14" s="21"/>
      <c r="P14" s="26"/>
      <c r="Q14" s="28"/>
      <c r="R14" s="28"/>
      <c r="S14" s="28"/>
      <c r="T14" s="28"/>
      <c r="U14" s="28"/>
      <c r="V14" s="39"/>
    </row>
    <row r="15" spans="2:22" ht="20.25" x14ac:dyDescent="0.2">
      <c r="B15" s="31">
        <f>(G15/119)*D15</f>
        <v>0</v>
      </c>
      <c r="C15" s="32">
        <f>(G15/119)*100</f>
        <v>22.268907563025213</v>
      </c>
      <c r="D15" s="1">
        <f>SUM(D16:D26)</f>
        <v>0</v>
      </c>
      <c r="E15" s="2">
        <f>SUM(E16:E26)</f>
        <v>100</v>
      </c>
      <c r="F15" s="3" t="s">
        <v>34</v>
      </c>
      <c r="G15" s="4">
        <f>SUM(G16:G26)</f>
        <v>26.5</v>
      </c>
      <c r="H15" s="5">
        <f>D15</f>
        <v>0</v>
      </c>
      <c r="K15" s="15"/>
      <c r="L15" s="22"/>
      <c r="M15" s="21"/>
      <c r="P15" s="31">
        <f>SUM(P16:P26)</f>
        <v>0</v>
      </c>
      <c r="Q15" s="32">
        <f>SUM(Q16:Q23)</f>
        <v>18.487394957983192</v>
      </c>
      <c r="R15" s="1">
        <f>SUM(R16:R26)</f>
        <v>0</v>
      </c>
      <c r="S15" s="2">
        <v>100</v>
      </c>
      <c r="T15" s="46" t="s">
        <v>71</v>
      </c>
      <c r="U15" s="4">
        <f>SUM(U16:U26)</f>
        <v>22</v>
      </c>
      <c r="V15" s="5">
        <f>R15</f>
        <v>0</v>
      </c>
    </row>
    <row r="16" spans="2:22" ht="18" x14ac:dyDescent="0.2">
      <c r="B16" s="6">
        <f>(G16/119)*H16</f>
        <v>0</v>
      </c>
      <c r="C16" s="7">
        <f>(G16/119)*100</f>
        <v>3.3613445378151261</v>
      </c>
      <c r="D16" s="7">
        <f t="shared" ref="D16:D26" si="8">(G16/26.5)*H16</f>
        <v>0</v>
      </c>
      <c r="E16" s="7">
        <f t="shared" ref="E16:E26" si="9">(G16/26.5)*100</f>
        <v>15.09433962264151</v>
      </c>
      <c r="F16" s="8" t="s">
        <v>19</v>
      </c>
      <c r="G16" s="93">
        <v>4</v>
      </c>
      <c r="H16" s="9"/>
      <c r="K16" s="15"/>
      <c r="L16" s="24" t="s">
        <v>36</v>
      </c>
      <c r="M16" s="21"/>
      <c r="P16" s="6">
        <f>U16/119*V16</f>
        <v>0</v>
      </c>
      <c r="Q16" s="7">
        <f>U16/119*100</f>
        <v>2.1008403361344539</v>
      </c>
      <c r="R16" s="7">
        <f>U16/22*V16</f>
        <v>0</v>
      </c>
      <c r="S16" s="7">
        <f>U16/22*100</f>
        <v>11.363636363636363</v>
      </c>
      <c r="T16" s="8" t="s">
        <v>75</v>
      </c>
      <c r="U16" s="93">
        <v>2.5</v>
      </c>
      <c r="V16" s="9"/>
    </row>
    <row r="17" spans="2:22" x14ac:dyDescent="0.2">
      <c r="B17" s="6">
        <f t="shared" ref="B17:B26" si="10">(G17/119)*H17</f>
        <v>0</v>
      </c>
      <c r="C17" s="7">
        <f t="shared" ref="C17:C26" si="11">(G17/119)*100</f>
        <v>4.6218487394957988</v>
      </c>
      <c r="D17" s="7">
        <f t="shared" si="8"/>
        <v>0</v>
      </c>
      <c r="E17" s="7">
        <f t="shared" si="9"/>
        <v>20.754716981132077</v>
      </c>
      <c r="F17" s="10" t="s">
        <v>20</v>
      </c>
      <c r="G17" s="94">
        <v>5.5</v>
      </c>
      <c r="H17" s="9"/>
      <c r="K17" s="15"/>
      <c r="L17" s="23">
        <f>L11/L8*100</f>
        <v>0</v>
      </c>
      <c r="M17" s="21"/>
      <c r="P17" s="6">
        <f t="shared" ref="P17:P23" si="12">U17/119*V17</f>
        <v>0</v>
      </c>
      <c r="Q17" s="7">
        <f t="shared" ref="Q17:Q23" si="13">U17/119*100</f>
        <v>1.680672268907563</v>
      </c>
      <c r="R17" s="7">
        <f t="shared" ref="R17:R22" si="14">U17/22*V17</f>
        <v>0</v>
      </c>
      <c r="S17" s="7">
        <f t="shared" ref="S17:S23" si="15">U17/22*100</f>
        <v>9.0909090909090917</v>
      </c>
      <c r="T17" s="10" t="s">
        <v>76</v>
      </c>
      <c r="U17" s="94">
        <v>2</v>
      </c>
      <c r="V17" s="9"/>
    </row>
    <row r="18" spans="2:22" x14ac:dyDescent="0.2">
      <c r="B18" s="6">
        <f t="shared" si="10"/>
        <v>0</v>
      </c>
      <c r="C18" s="7">
        <f t="shared" si="11"/>
        <v>1.680672268907563</v>
      </c>
      <c r="D18" s="7">
        <f t="shared" si="8"/>
        <v>0</v>
      </c>
      <c r="E18" s="7">
        <f t="shared" si="9"/>
        <v>7.5471698113207548</v>
      </c>
      <c r="F18" s="10" t="s">
        <v>21</v>
      </c>
      <c r="G18" s="94">
        <v>2</v>
      </c>
      <c r="H18" s="9"/>
      <c r="K18" s="15"/>
      <c r="L18" s="22"/>
      <c r="M18" s="21"/>
      <c r="P18" s="6">
        <f t="shared" si="12"/>
        <v>0</v>
      </c>
      <c r="Q18" s="7">
        <f t="shared" si="13"/>
        <v>1.680672268907563</v>
      </c>
      <c r="R18" s="7">
        <f t="shared" si="14"/>
        <v>0</v>
      </c>
      <c r="S18" s="7">
        <f t="shared" si="15"/>
        <v>9.0909090909090917</v>
      </c>
      <c r="T18" s="10" t="s">
        <v>77</v>
      </c>
      <c r="U18" s="94">
        <v>2</v>
      </c>
      <c r="V18" s="9"/>
    </row>
    <row r="19" spans="2:22" ht="18" x14ac:dyDescent="0.2">
      <c r="B19" s="6">
        <f t="shared" si="10"/>
        <v>0</v>
      </c>
      <c r="C19" s="7">
        <f t="shared" si="11"/>
        <v>1.680672268907563</v>
      </c>
      <c r="D19" s="7">
        <f t="shared" si="8"/>
        <v>0</v>
      </c>
      <c r="E19" s="7">
        <f t="shared" si="9"/>
        <v>7.5471698113207548</v>
      </c>
      <c r="F19" s="10" t="s">
        <v>22</v>
      </c>
      <c r="G19" s="94">
        <v>2</v>
      </c>
      <c r="H19" s="9"/>
      <c r="K19" s="15"/>
      <c r="L19" s="24" t="s">
        <v>67</v>
      </c>
      <c r="M19" s="21"/>
      <c r="P19" s="6">
        <f t="shared" si="12"/>
        <v>0</v>
      </c>
      <c r="Q19" s="7">
        <f t="shared" si="13"/>
        <v>0.84033613445378152</v>
      </c>
      <c r="R19" s="7">
        <f t="shared" si="14"/>
        <v>0</v>
      </c>
      <c r="S19" s="7">
        <f t="shared" si="15"/>
        <v>4.5454545454545459</v>
      </c>
      <c r="T19" s="10" t="s">
        <v>78</v>
      </c>
      <c r="U19" s="94">
        <v>1</v>
      </c>
      <c r="V19" s="9"/>
    </row>
    <row r="20" spans="2:22" x14ac:dyDescent="0.2">
      <c r="B20" s="6">
        <f t="shared" si="10"/>
        <v>0</v>
      </c>
      <c r="C20" s="7">
        <f t="shared" si="11"/>
        <v>1.680672268907563</v>
      </c>
      <c r="D20" s="7">
        <f t="shared" si="8"/>
        <v>0</v>
      </c>
      <c r="E20" s="7">
        <f t="shared" si="9"/>
        <v>7.5471698113207548</v>
      </c>
      <c r="F20" s="10" t="s">
        <v>23</v>
      </c>
      <c r="G20" s="94">
        <v>2</v>
      </c>
      <c r="H20" s="9"/>
      <c r="K20" s="15"/>
      <c r="L20" s="23">
        <f>100-L17+L14</f>
        <v>100</v>
      </c>
      <c r="M20" s="21"/>
      <c r="P20" s="6">
        <f t="shared" si="12"/>
        <v>0</v>
      </c>
      <c r="Q20" s="7">
        <f t="shared" si="13"/>
        <v>3.3613445378151261</v>
      </c>
      <c r="R20" s="7">
        <f t="shared" si="14"/>
        <v>0</v>
      </c>
      <c r="S20" s="7">
        <f t="shared" si="15"/>
        <v>18.181818181818183</v>
      </c>
      <c r="T20" s="10" t="s">
        <v>79</v>
      </c>
      <c r="U20" s="94">
        <v>4</v>
      </c>
      <c r="V20" s="9"/>
    </row>
    <row r="21" spans="2:22" ht="15" thickBot="1" x14ac:dyDescent="0.25">
      <c r="B21" s="6">
        <f t="shared" si="10"/>
        <v>0</v>
      </c>
      <c r="C21" s="7">
        <f t="shared" si="11"/>
        <v>0.84033613445378152</v>
      </c>
      <c r="D21" s="7">
        <f t="shared" si="8"/>
        <v>0</v>
      </c>
      <c r="E21" s="7">
        <f t="shared" si="9"/>
        <v>3.7735849056603774</v>
      </c>
      <c r="F21" s="10" t="s">
        <v>24</v>
      </c>
      <c r="G21" s="94">
        <v>1</v>
      </c>
      <c r="H21" s="9"/>
      <c r="K21" s="16"/>
      <c r="L21" s="17"/>
      <c r="M21" s="18"/>
      <c r="P21" s="6">
        <f t="shared" si="12"/>
        <v>0</v>
      </c>
      <c r="Q21" s="7">
        <f t="shared" si="13"/>
        <v>2.5210084033613445</v>
      </c>
      <c r="R21" s="7">
        <f t="shared" si="14"/>
        <v>0</v>
      </c>
      <c r="S21" s="7">
        <f t="shared" si="15"/>
        <v>13.636363636363635</v>
      </c>
      <c r="T21" s="10" t="s">
        <v>80</v>
      </c>
      <c r="U21" s="99">
        <v>3</v>
      </c>
      <c r="V21" s="9"/>
    </row>
    <row r="22" spans="2:22" x14ac:dyDescent="0.2">
      <c r="B22" s="6">
        <f t="shared" si="10"/>
        <v>0</v>
      </c>
      <c r="C22" s="7">
        <f t="shared" si="11"/>
        <v>2.5210084033613445</v>
      </c>
      <c r="D22" s="7">
        <f t="shared" si="8"/>
        <v>0</v>
      </c>
      <c r="E22" s="7">
        <f t="shared" si="9"/>
        <v>11.320754716981133</v>
      </c>
      <c r="F22" s="10" t="s">
        <v>25</v>
      </c>
      <c r="G22" s="94">
        <v>3</v>
      </c>
      <c r="H22" s="9"/>
      <c r="P22" s="6">
        <f t="shared" si="12"/>
        <v>0</v>
      </c>
      <c r="Q22" s="7">
        <f t="shared" si="13"/>
        <v>3.3613445378151261</v>
      </c>
      <c r="R22" s="7">
        <f t="shared" si="14"/>
        <v>0</v>
      </c>
      <c r="S22" s="7">
        <f t="shared" si="15"/>
        <v>18.181818181818183</v>
      </c>
      <c r="T22" s="10" t="s">
        <v>81</v>
      </c>
      <c r="U22" s="94">
        <v>4</v>
      </c>
      <c r="V22" s="9"/>
    </row>
    <row r="23" spans="2:22" ht="15" thickBot="1" x14ac:dyDescent="0.25">
      <c r="B23" s="6">
        <f t="shared" si="10"/>
        <v>0</v>
      </c>
      <c r="C23" s="7">
        <f t="shared" si="11"/>
        <v>2.5210084033613445</v>
      </c>
      <c r="D23" s="7">
        <f t="shared" si="8"/>
        <v>0</v>
      </c>
      <c r="E23" s="7">
        <f t="shared" si="9"/>
        <v>11.320754716981133</v>
      </c>
      <c r="F23" s="10" t="s">
        <v>26</v>
      </c>
      <c r="G23" s="94">
        <v>3</v>
      </c>
      <c r="H23" s="9"/>
      <c r="P23" s="6">
        <f t="shared" si="12"/>
        <v>0</v>
      </c>
      <c r="Q23" s="7">
        <f t="shared" si="13"/>
        <v>2.9411764705882351</v>
      </c>
      <c r="R23" s="7">
        <f>U23/22*V23</f>
        <v>0</v>
      </c>
      <c r="S23" s="7">
        <f t="shared" si="15"/>
        <v>15.909090909090908</v>
      </c>
      <c r="T23" s="10" t="s">
        <v>82</v>
      </c>
      <c r="U23" s="94">
        <v>3.5</v>
      </c>
      <c r="V23" s="9"/>
    </row>
    <row r="24" spans="2:22" ht="13.9" customHeight="1" thickBot="1" x14ac:dyDescent="0.25">
      <c r="B24" s="6">
        <f t="shared" si="10"/>
        <v>0</v>
      </c>
      <c r="C24" s="7">
        <f t="shared" si="11"/>
        <v>0.84033613445378152</v>
      </c>
      <c r="D24" s="7">
        <f t="shared" si="8"/>
        <v>0</v>
      </c>
      <c r="E24" s="7">
        <f t="shared" si="9"/>
        <v>3.7735849056603774</v>
      </c>
      <c r="F24" s="10" t="s">
        <v>27</v>
      </c>
      <c r="G24" s="94">
        <v>1</v>
      </c>
      <c r="H24" s="9"/>
      <c r="K24" s="172" t="s">
        <v>72</v>
      </c>
      <c r="L24" s="173"/>
      <c r="M24" s="174"/>
      <c r="P24" s="6"/>
      <c r="Q24" s="7"/>
      <c r="R24" s="7"/>
      <c r="S24" s="7"/>
      <c r="T24" s="10"/>
      <c r="U24" s="10"/>
      <c r="V24" s="9"/>
    </row>
    <row r="25" spans="2:22" ht="15" thickBot="1" x14ac:dyDescent="0.25">
      <c r="B25" s="6">
        <f t="shared" si="10"/>
        <v>0</v>
      </c>
      <c r="C25" s="7">
        <f t="shared" si="11"/>
        <v>0.84033613445378152</v>
      </c>
      <c r="D25" s="7">
        <f t="shared" si="8"/>
        <v>0</v>
      </c>
      <c r="E25" s="7">
        <f t="shared" si="9"/>
        <v>3.7735849056603774</v>
      </c>
      <c r="F25" s="10" t="s">
        <v>28</v>
      </c>
      <c r="G25" s="94">
        <v>1</v>
      </c>
      <c r="H25" s="9"/>
      <c r="K25" s="184" t="s">
        <v>97</v>
      </c>
      <c r="L25" s="185"/>
      <c r="M25" s="186"/>
      <c r="P25" s="6"/>
      <c r="Q25" s="7"/>
      <c r="R25" s="7"/>
      <c r="S25" s="7"/>
      <c r="T25" s="10"/>
      <c r="U25" s="10"/>
      <c r="V25" s="9"/>
    </row>
    <row r="26" spans="2:22" ht="14.45" customHeight="1" thickBot="1" x14ac:dyDescent="0.25">
      <c r="B26" s="6">
        <f t="shared" si="10"/>
        <v>0</v>
      </c>
      <c r="C26" s="7">
        <f t="shared" si="11"/>
        <v>1.680672268907563</v>
      </c>
      <c r="D26" s="12">
        <f t="shared" si="8"/>
        <v>0</v>
      </c>
      <c r="E26" s="12">
        <f t="shared" si="9"/>
        <v>7.5471698113207548</v>
      </c>
      <c r="F26" s="11" t="s">
        <v>29</v>
      </c>
      <c r="G26" s="95">
        <v>2</v>
      </c>
      <c r="H26" s="13"/>
      <c r="K26" s="175"/>
      <c r="L26" s="176"/>
      <c r="M26" s="177"/>
      <c r="P26" s="6"/>
      <c r="Q26" s="7"/>
      <c r="R26" s="7"/>
      <c r="S26" s="7"/>
      <c r="T26" s="11"/>
      <c r="U26" s="12"/>
      <c r="V26" s="13"/>
    </row>
    <row r="27" spans="2:22" ht="15" thickBot="1" x14ac:dyDescent="0.25">
      <c r="B27" s="26"/>
      <c r="C27" s="28"/>
      <c r="D27" s="28"/>
      <c r="E27" s="28"/>
      <c r="F27" s="28"/>
      <c r="G27" s="28"/>
      <c r="H27" s="39"/>
      <c r="K27" s="178"/>
      <c r="L27" s="179"/>
      <c r="M27" s="180"/>
      <c r="P27" s="26"/>
      <c r="Q27" s="28"/>
      <c r="R27" s="28"/>
      <c r="S27" s="28"/>
      <c r="T27" s="28"/>
      <c r="U27" s="28"/>
      <c r="V27" s="39"/>
    </row>
    <row r="28" spans="2:22" ht="20.25" x14ac:dyDescent="0.2">
      <c r="B28" s="31">
        <f>G28/119*D28</f>
        <v>0</v>
      </c>
      <c r="C28" s="35">
        <f>(G28/119)*100</f>
        <v>23.949579831932773</v>
      </c>
      <c r="D28" s="1">
        <f>SUM(D29:D38)</f>
        <v>0</v>
      </c>
      <c r="E28" s="36">
        <v>100</v>
      </c>
      <c r="F28" s="3" t="s">
        <v>41</v>
      </c>
      <c r="G28" s="4">
        <f>SUM(G29:G38)</f>
        <v>28.5</v>
      </c>
      <c r="H28" s="33">
        <f>D28</f>
        <v>0</v>
      </c>
      <c r="K28" s="181" t="s">
        <v>74</v>
      </c>
      <c r="L28" s="182"/>
      <c r="M28" s="183"/>
      <c r="P28" s="31">
        <f>SUM(P29:P32)</f>
        <v>0</v>
      </c>
      <c r="Q28" s="35">
        <f>SUM(Q29:Q32)</f>
        <v>8.8235294117647065</v>
      </c>
      <c r="R28" s="1">
        <f>SUM(R29:R32)</f>
        <v>0</v>
      </c>
      <c r="S28" s="36">
        <f>SUM(S29:S32)</f>
        <v>100</v>
      </c>
      <c r="T28" s="3" t="s">
        <v>94</v>
      </c>
      <c r="U28" s="4">
        <f>SUM(U29:U38)</f>
        <v>10.5</v>
      </c>
      <c r="V28" s="33">
        <f>R28</f>
        <v>0</v>
      </c>
    </row>
    <row r="29" spans="2:22" x14ac:dyDescent="0.2">
      <c r="B29" s="6">
        <f>(G29/119)*H29</f>
        <v>0</v>
      </c>
      <c r="C29" s="7">
        <f>(G29/119)*100</f>
        <v>0.84033613445378152</v>
      </c>
      <c r="D29" s="10">
        <f t="shared" ref="D29:D38" si="16">G29/28.5*H29</f>
        <v>0</v>
      </c>
      <c r="E29" s="7">
        <f t="shared" ref="E29:E38" si="17">(G29/28.5)*100</f>
        <v>3.5087719298245612</v>
      </c>
      <c r="F29" s="10" t="s">
        <v>42</v>
      </c>
      <c r="G29" s="97">
        <v>1</v>
      </c>
      <c r="H29" s="9"/>
      <c r="K29" s="205"/>
      <c r="L29" s="197"/>
      <c r="M29" s="198"/>
      <c r="P29" s="6">
        <f>V29*U29/119</f>
        <v>0</v>
      </c>
      <c r="Q29" s="7">
        <f>U29/119*100</f>
        <v>1.680672268907563</v>
      </c>
      <c r="R29" s="10">
        <f>U29/10.5*V29</f>
        <v>0</v>
      </c>
      <c r="S29" s="7">
        <f>U29/10.5*100</f>
        <v>19.047619047619047</v>
      </c>
      <c r="T29" s="8" t="s">
        <v>91</v>
      </c>
      <c r="U29" s="97">
        <v>2</v>
      </c>
      <c r="V29" s="9"/>
    </row>
    <row r="30" spans="2:22" x14ac:dyDescent="0.2">
      <c r="B30" s="6">
        <f t="shared" ref="B30:B38" si="18">(G30/119)*H30</f>
        <v>0</v>
      </c>
      <c r="C30" s="7">
        <f t="shared" ref="C30:C38" si="19">(G30/119)*100</f>
        <v>2.1008403361344539</v>
      </c>
      <c r="D30" s="10">
        <f t="shared" si="16"/>
        <v>0</v>
      </c>
      <c r="E30" s="7">
        <f t="shared" si="17"/>
        <v>8.7719298245614024</v>
      </c>
      <c r="F30" s="7" t="s">
        <v>44</v>
      </c>
      <c r="G30" s="97">
        <v>2.5</v>
      </c>
      <c r="H30" s="9"/>
      <c r="K30" s="190"/>
      <c r="L30" s="191"/>
      <c r="M30" s="192"/>
      <c r="P30" s="6">
        <f t="shared" ref="P30:P32" si="20">V30*U30/119</f>
        <v>0</v>
      </c>
      <c r="Q30" s="7">
        <f t="shared" ref="Q30:Q32" si="21">U30/119*100</f>
        <v>1.680672268907563</v>
      </c>
      <c r="R30" s="10">
        <f t="shared" ref="R30:R32" si="22">U30/10.5*V30</f>
        <v>0</v>
      </c>
      <c r="S30" s="7">
        <f t="shared" ref="S30:S32" si="23">U30/10.5*100</f>
        <v>19.047619047619047</v>
      </c>
      <c r="T30" s="10" t="s">
        <v>92</v>
      </c>
      <c r="U30" s="97">
        <v>2</v>
      </c>
      <c r="V30" s="9"/>
    </row>
    <row r="31" spans="2:22" x14ac:dyDescent="0.2">
      <c r="B31" s="6">
        <f t="shared" si="18"/>
        <v>0</v>
      </c>
      <c r="C31" s="7">
        <f t="shared" si="19"/>
        <v>3.7815126050420167</v>
      </c>
      <c r="D31" s="10">
        <f t="shared" si="16"/>
        <v>0</v>
      </c>
      <c r="E31" s="7">
        <f t="shared" si="17"/>
        <v>15.789473684210526</v>
      </c>
      <c r="F31" s="37" t="s">
        <v>45</v>
      </c>
      <c r="G31" s="97">
        <v>4.5</v>
      </c>
      <c r="H31" s="9"/>
      <c r="K31" s="190"/>
      <c r="L31" s="191"/>
      <c r="M31" s="192"/>
      <c r="P31" s="6">
        <f t="shared" si="20"/>
        <v>0</v>
      </c>
      <c r="Q31" s="7">
        <f t="shared" si="21"/>
        <v>4.6218487394957988</v>
      </c>
      <c r="R31" s="10">
        <f t="shared" si="22"/>
        <v>0</v>
      </c>
      <c r="S31" s="7">
        <f t="shared" si="23"/>
        <v>52.380952380952387</v>
      </c>
      <c r="T31" s="10" t="s">
        <v>93</v>
      </c>
      <c r="U31" s="97">
        <v>5.5</v>
      </c>
      <c r="V31" s="9"/>
    </row>
    <row r="32" spans="2:22" ht="14.25" customHeight="1" x14ac:dyDescent="0.2">
      <c r="B32" s="6">
        <f t="shared" si="18"/>
        <v>0</v>
      </c>
      <c r="C32" s="7">
        <f t="shared" si="19"/>
        <v>3.3613445378151261</v>
      </c>
      <c r="D32" s="10">
        <f t="shared" si="16"/>
        <v>0</v>
      </c>
      <c r="E32" s="7">
        <f t="shared" si="17"/>
        <v>14.035087719298245</v>
      </c>
      <c r="F32" s="7" t="s">
        <v>43</v>
      </c>
      <c r="G32" s="97">
        <v>4</v>
      </c>
      <c r="H32" s="9"/>
      <c r="K32" s="196"/>
      <c r="L32" s="197"/>
      <c r="M32" s="198"/>
      <c r="P32" s="6">
        <f t="shared" si="20"/>
        <v>0</v>
      </c>
      <c r="Q32" s="7">
        <f t="shared" si="21"/>
        <v>0.84033613445378152</v>
      </c>
      <c r="R32" s="10">
        <f t="shared" si="22"/>
        <v>0</v>
      </c>
      <c r="S32" s="7">
        <f t="shared" si="23"/>
        <v>9.5238095238095237</v>
      </c>
      <c r="T32" s="10" t="s">
        <v>95</v>
      </c>
      <c r="U32" s="97">
        <v>1</v>
      </c>
      <c r="V32" s="9"/>
    </row>
    <row r="33" spans="2:22" ht="16.5" customHeight="1" x14ac:dyDescent="0.2">
      <c r="B33" s="6">
        <f t="shared" si="18"/>
        <v>0</v>
      </c>
      <c r="C33" s="7">
        <f t="shared" si="19"/>
        <v>3.3613445378151261</v>
      </c>
      <c r="D33" s="10">
        <f t="shared" si="16"/>
        <v>0</v>
      </c>
      <c r="E33" s="7">
        <f t="shared" si="17"/>
        <v>14.035087719298245</v>
      </c>
      <c r="F33" s="7" t="s">
        <v>46</v>
      </c>
      <c r="G33" s="97">
        <v>4</v>
      </c>
      <c r="H33" s="9"/>
      <c r="K33" s="187" t="s">
        <v>73</v>
      </c>
      <c r="L33" s="188"/>
      <c r="M33" s="189"/>
      <c r="P33" s="6"/>
      <c r="Q33" s="7"/>
      <c r="R33" s="10"/>
      <c r="S33" s="7"/>
      <c r="T33" s="7"/>
      <c r="U33" s="7"/>
      <c r="V33" s="9"/>
    </row>
    <row r="34" spans="2:22" x14ac:dyDescent="0.2">
      <c r="B34" s="6">
        <f t="shared" si="18"/>
        <v>0</v>
      </c>
      <c r="C34" s="7">
        <f t="shared" si="19"/>
        <v>1.680672268907563</v>
      </c>
      <c r="D34" s="10">
        <f t="shared" si="16"/>
        <v>0</v>
      </c>
      <c r="E34" s="7">
        <f t="shared" si="17"/>
        <v>7.0175438596491224</v>
      </c>
      <c r="F34" s="7" t="s">
        <v>47</v>
      </c>
      <c r="G34" s="97">
        <v>2</v>
      </c>
      <c r="H34" s="9"/>
      <c r="K34" s="193"/>
      <c r="L34" s="194"/>
      <c r="M34" s="195"/>
      <c r="P34" s="6"/>
      <c r="Q34" s="7"/>
      <c r="R34" s="10"/>
      <c r="S34" s="7"/>
      <c r="T34" s="7"/>
      <c r="U34" s="7"/>
      <c r="V34" s="9"/>
    </row>
    <row r="35" spans="2:22" x14ac:dyDescent="0.2">
      <c r="B35" s="6">
        <f t="shared" si="18"/>
        <v>0</v>
      </c>
      <c r="C35" s="7">
        <f t="shared" si="19"/>
        <v>1.2605042016806722</v>
      </c>
      <c r="D35" s="10">
        <f t="shared" si="16"/>
        <v>0</v>
      </c>
      <c r="E35" s="7">
        <f t="shared" si="17"/>
        <v>5.2631578947368416</v>
      </c>
      <c r="F35" s="7" t="s">
        <v>48</v>
      </c>
      <c r="G35" s="97">
        <v>1.5</v>
      </c>
      <c r="H35" s="9"/>
      <c r="K35" s="81"/>
      <c r="L35" s="82"/>
      <c r="M35" s="83"/>
      <c r="P35" s="6"/>
      <c r="Q35" s="7"/>
      <c r="R35" s="10"/>
      <c r="S35" s="7"/>
      <c r="T35" s="7"/>
      <c r="U35" s="7"/>
      <c r="V35" s="9"/>
    </row>
    <row r="36" spans="2:22" x14ac:dyDescent="0.2">
      <c r="B36" s="6">
        <f t="shared" si="18"/>
        <v>0</v>
      </c>
      <c r="C36" s="7">
        <f t="shared" si="19"/>
        <v>2.5210084033613445</v>
      </c>
      <c r="D36" s="10">
        <f t="shared" si="16"/>
        <v>0</v>
      </c>
      <c r="E36" s="7">
        <f t="shared" si="17"/>
        <v>10.526315789473683</v>
      </c>
      <c r="F36" s="7" t="s">
        <v>50</v>
      </c>
      <c r="G36" s="97">
        <v>3</v>
      </c>
      <c r="H36" s="9"/>
      <c r="K36" s="81"/>
      <c r="L36" s="82"/>
      <c r="M36" s="83"/>
      <c r="P36" s="6"/>
      <c r="Q36" s="7"/>
      <c r="R36" s="10"/>
      <c r="S36" s="7"/>
      <c r="T36" s="7"/>
      <c r="U36" s="7"/>
      <c r="V36" s="9"/>
    </row>
    <row r="37" spans="2:22" x14ac:dyDescent="0.2">
      <c r="B37" s="6">
        <f t="shared" si="18"/>
        <v>0</v>
      </c>
      <c r="C37" s="7">
        <f t="shared" si="19"/>
        <v>3.3613445378151261</v>
      </c>
      <c r="D37" s="10">
        <f t="shared" si="16"/>
        <v>0</v>
      </c>
      <c r="E37" s="7">
        <f t="shared" si="17"/>
        <v>14.035087719298245</v>
      </c>
      <c r="F37" s="7" t="s">
        <v>49</v>
      </c>
      <c r="G37" s="97">
        <v>4</v>
      </c>
      <c r="H37" s="9"/>
      <c r="K37" s="81"/>
      <c r="L37" s="82"/>
      <c r="M37" s="83"/>
      <c r="P37" s="6"/>
      <c r="Q37" s="7"/>
      <c r="R37" s="10"/>
      <c r="S37" s="7"/>
      <c r="T37" s="7"/>
      <c r="U37" s="7"/>
      <c r="V37" s="9"/>
    </row>
    <row r="38" spans="2:22" ht="15" customHeight="1" thickBot="1" x14ac:dyDescent="0.25">
      <c r="B38" s="34">
        <f t="shared" si="18"/>
        <v>0</v>
      </c>
      <c r="C38" s="11">
        <f t="shared" si="19"/>
        <v>1.680672268907563</v>
      </c>
      <c r="D38" s="12">
        <f t="shared" si="16"/>
        <v>0</v>
      </c>
      <c r="E38" s="12">
        <f t="shared" si="17"/>
        <v>7.0175438596491224</v>
      </c>
      <c r="F38" s="11" t="s">
        <v>51</v>
      </c>
      <c r="G38" s="98">
        <v>2</v>
      </c>
      <c r="H38" s="13"/>
      <c r="K38" s="88"/>
      <c r="L38" s="89"/>
      <c r="M38" s="90"/>
      <c r="P38" s="34"/>
      <c r="Q38" s="11"/>
      <c r="R38" s="12"/>
      <c r="S38" s="12"/>
      <c r="T38" s="11"/>
      <c r="U38" s="11"/>
      <c r="V38" s="13"/>
    </row>
    <row r="39" spans="2:22" ht="24.75" customHeight="1" thickBot="1" x14ac:dyDescent="0.25">
      <c r="K39" s="211" t="s">
        <v>96</v>
      </c>
      <c r="L39" s="212"/>
      <c r="M39" s="213"/>
    </row>
    <row r="40" spans="2:22" ht="15" thickBot="1" x14ac:dyDescent="0.25"/>
    <row r="41" spans="2:22" ht="20.25" x14ac:dyDescent="0.2">
      <c r="P41" s="49" t="s">
        <v>68</v>
      </c>
      <c r="Q41" s="91" t="s">
        <v>68</v>
      </c>
      <c r="R41" s="44" t="s">
        <v>68</v>
      </c>
      <c r="S41" s="92" t="s">
        <v>68</v>
      </c>
      <c r="T41" s="46" t="s">
        <v>100</v>
      </c>
      <c r="U41" s="47">
        <f>SUM(U42:U51)</f>
        <v>18</v>
      </c>
      <c r="V41" s="52" t="str">
        <f>R41</f>
        <v>-</v>
      </c>
    </row>
    <row r="42" spans="2:22" x14ac:dyDescent="0.2">
      <c r="K42" s="76"/>
      <c r="L42" s="76"/>
      <c r="M42" s="76"/>
      <c r="P42" s="6" t="s">
        <v>68</v>
      </c>
      <c r="Q42" s="7" t="s">
        <v>68</v>
      </c>
      <c r="R42" s="10" t="s">
        <v>68</v>
      </c>
      <c r="S42" s="7" t="s">
        <v>68</v>
      </c>
      <c r="T42" s="8" t="s">
        <v>98</v>
      </c>
      <c r="U42" s="97">
        <v>2</v>
      </c>
      <c r="V42" s="9"/>
    </row>
    <row r="43" spans="2:22" x14ac:dyDescent="0.2">
      <c r="P43" s="6" t="s">
        <v>68</v>
      </c>
      <c r="Q43" s="7" t="s">
        <v>68</v>
      </c>
      <c r="R43" s="10" t="s">
        <v>68</v>
      </c>
      <c r="S43" s="7" t="s">
        <v>68</v>
      </c>
      <c r="T43" s="10" t="s">
        <v>99</v>
      </c>
      <c r="U43" s="97">
        <v>2</v>
      </c>
      <c r="V43" s="9"/>
    </row>
    <row r="44" spans="2:22" x14ac:dyDescent="0.2">
      <c r="P44" s="101" t="s">
        <v>68</v>
      </c>
      <c r="Q44" s="102" t="s">
        <v>68</v>
      </c>
      <c r="R44" s="103" t="s">
        <v>68</v>
      </c>
      <c r="S44" s="102" t="s">
        <v>68</v>
      </c>
      <c r="T44" s="103" t="s">
        <v>101</v>
      </c>
      <c r="U44" s="102">
        <v>14</v>
      </c>
      <c r="V44" s="104"/>
    </row>
    <row r="45" spans="2:22" x14ac:dyDescent="0.2">
      <c r="P45" s="6"/>
      <c r="Q45" s="7"/>
      <c r="R45" s="10"/>
      <c r="S45" s="7"/>
      <c r="T45" s="10"/>
      <c r="U45" s="7"/>
      <c r="V45" s="9"/>
    </row>
    <row r="46" spans="2:22" x14ac:dyDescent="0.2">
      <c r="P46" s="6"/>
      <c r="Q46" s="7"/>
      <c r="R46" s="10"/>
      <c r="S46" s="7"/>
      <c r="T46" s="7"/>
      <c r="U46" s="7"/>
      <c r="V46" s="9"/>
    </row>
    <row r="47" spans="2:22" x14ac:dyDescent="0.2">
      <c r="P47" s="6"/>
      <c r="Q47" s="7"/>
      <c r="R47" s="10"/>
      <c r="S47" s="7"/>
      <c r="T47" s="7"/>
      <c r="U47" s="7"/>
      <c r="V47" s="9"/>
    </row>
    <row r="48" spans="2:22" x14ac:dyDescent="0.2">
      <c r="P48" s="6"/>
      <c r="Q48" s="7"/>
      <c r="R48" s="10"/>
      <c r="S48" s="7"/>
      <c r="T48" s="7"/>
      <c r="U48" s="7"/>
      <c r="V48" s="9"/>
    </row>
    <row r="49" spans="16:22" x14ac:dyDescent="0.2">
      <c r="P49" s="6"/>
      <c r="Q49" s="7"/>
      <c r="R49" s="10"/>
      <c r="S49" s="7"/>
      <c r="T49" s="7"/>
      <c r="U49" s="7"/>
      <c r="V49" s="9"/>
    </row>
    <row r="50" spans="16:22" x14ac:dyDescent="0.2">
      <c r="P50" s="6"/>
      <c r="Q50" s="7"/>
      <c r="R50" s="10"/>
      <c r="S50" s="7"/>
      <c r="T50" s="7"/>
      <c r="U50" s="7"/>
      <c r="V50" s="9"/>
    </row>
    <row r="51" spans="16:22" ht="15" thickBot="1" x14ac:dyDescent="0.25">
      <c r="P51" s="34"/>
      <c r="Q51" s="11"/>
      <c r="R51" s="12"/>
      <c r="S51" s="12"/>
      <c r="T51" s="11"/>
      <c r="U51" s="11"/>
      <c r="V51" s="13"/>
    </row>
  </sheetData>
  <mergeCells count="16">
    <mergeCell ref="K39:M39"/>
    <mergeCell ref="K33:M33"/>
    <mergeCell ref="K31:M31"/>
    <mergeCell ref="K34:M34"/>
    <mergeCell ref="K32:M32"/>
    <mergeCell ref="B2:H3"/>
    <mergeCell ref="K4:M4"/>
    <mergeCell ref="K5:M5"/>
    <mergeCell ref="K29:M29"/>
    <mergeCell ref="K30:M30"/>
    <mergeCell ref="P2:V3"/>
    <mergeCell ref="K24:M24"/>
    <mergeCell ref="K26:M26"/>
    <mergeCell ref="K27:M27"/>
    <mergeCell ref="K28:M28"/>
    <mergeCell ref="K25:M25"/>
  </mergeCells>
  <phoneticPr fontId="1" type="noConversion"/>
  <pageMargins left="0.7" right="0.7" top="0.75" bottom="0.75" header="0.3" footer="0.3"/>
  <pageSetup paperSize="9" orientation="portrait" r:id="rId1"/>
  <ignoredErrors>
    <ignoredError sqref="Q1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68DA-A554-4D30-BFAE-A59155513FB6}">
  <dimension ref="J3:L22"/>
  <sheetViews>
    <sheetView topLeftCell="C1" workbookViewId="0">
      <selection activeCell="J25" sqref="J25"/>
    </sheetView>
  </sheetViews>
  <sheetFormatPr defaultColWidth="9" defaultRowHeight="14.25" x14ac:dyDescent="0.2"/>
  <cols>
    <col min="1" max="9" width="9" style="38"/>
    <col min="10" max="10" width="27" style="38" customWidth="1"/>
    <col min="11" max="16384" width="9" style="38"/>
  </cols>
  <sheetData>
    <row r="3" spans="10:12" ht="15" thickBot="1" x14ac:dyDescent="0.25"/>
    <row r="4" spans="10:12" ht="23.25" customHeight="1" thickBot="1" x14ac:dyDescent="0.25">
      <c r="J4" s="206" t="s">
        <v>60</v>
      </c>
      <c r="K4" s="207"/>
      <c r="L4" s="208"/>
    </row>
    <row r="5" spans="10:12" ht="16.5" thickBot="1" x14ac:dyDescent="0.25">
      <c r="J5" s="67" t="s">
        <v>62</v>
      </c>
      <c r="K5" s="209">
        <f>SUM(K7:K22)</f>
        <v>0</v>
      </c>
      <c r="L5" s="210"/>
    </row>
    <row r="6" spans="10:12" ht="24" thickBot="1" x14ac:dyDescent="0.25">
      <c r="J6" s="68" t="s">
        <v>61</v>
      </c>
      <c r="K6" s="69" t="s">
        <v>10</v>
      </c>
      <c r="L6" s="70" t="s">
        <v>11</v>
      </c>
    </row>
    <row r="7" spans="10:12" ht="18" customHeight="1" x14ac:dyDescent="0.2">
      <c r="J7" s="55"/>
      <c r="K7" s="71"/>
      <c r="L7" s="56"/>
    </row>
    <row r="8" spans="10:12" ht="18" customHeight="1" x14ac:dyDescent="0.2">
      <c r="J8" s="72"/>
      <c r="K8" s="73"/>
      <c r="L8" s="56"/>
    </row>
    <row r="9" spans="10:12" ht="18" customHeight="1" x14ac:dyDescent="0.2">
      <c r="J9" s="72"/>
      <c r="K9" s="73"/>
      <c r="L9" s="56"/>
    </row>
    <row r="10" spans="10:12" ht="18" customHeight="1" x14ac:dyDescent="0.2">
      <c r="J10" s="72"/>
      <c r="K10" s="73"/>
      <c r="L10" s="56"/>
    </row>
    <row r="11" spans="10:12" ht="18" customHeight="1" x14ac:dyDescent="0.2">
      <c r="J11" s="72"/>
      <c r="K11" s="73"/>
      <c r="L11" s="56"/>
    </row>
    <row r="12" spans="10:12" ht="18" customHeight="1" x14ac:dyDescent="0.2">
      <c r="J12" s="6"/>
      <c r="K12" s="84"/>
      <c r="L12" s="56"/>
    </row>
    <row r="13" spans="10:12" ht="18" customHeight="1" x14ac:dyDescent="0.2">
      <c r="J13" s="6"/>
      <c r="K13" s="84"/>
      <c r="L13" s="56"/>
    </row>
    <row r="14" spans="10:12" ht="18" customHeight="1" x14ac:dyDescent="0.2">
      <c r="J14" s="72"/>
      <c r="K14" s="73"/>
      <c r="L14" s="56"/>
    </row>
    <row r="15" spans="10:12" ht="18" customHeight="1" x14ac:dyDescent="0.2">
      <c r="J15" s="72"/>
      <c r="K15" s="73"/>
      <c r="L15" s="56"/>
    </row>
    <row r="16" spans="10:12" ht="18" customHeight="1" x14ac:dyDescent="0.2">
      <c r="J16" s="72"/>
      <c r="K16" s="73"/>
      <c r="L16" s="56"/>
    </row>
    <row r="17" spans="10:12" ht="18" customHeight="1" x14ac:dyDescent="0.2">
      <c r="J17" s="72"/>
      <c r="K17" s="73"/>
      <c r="L17" s="56"/>
    </row>
    <row r="18" spans="10:12" ht="18" customHeight="1" x14ac:dyDescent="0.2">
      <c r="J18" s="72"/>
      <c r="K18" s="73"/>
      <c r="L18" s="56"/>
    </row>
    <row r="19" spans="10:12" ht="18" customHeight="1" x14ac:dyDescent="0.2">
      <c r="J19" s="72"/>
      <c r="K19" s="73"/>
      <c r="L19" s="56"/>
    </row>
    <row r="20" spans="10:12" ht="18" customHeight="1" x14ac:dyDescent="0.2">
      <c r="J20" s="72"/>
      <c r="K20" s="73"/>
      <c r="L20" s="56"/>
    </row>
    <row r="21" spans="10:12" ht="18" customHeight="1" x14ac:dyDescent="0.2">
      <c r="J21" s="72"/>
      <c r="K21" s="73"/>
      <c r="L21" s="56"/>
    </row>
    <row r="22" spans="10:12" ht="18" customHeight="1" thickBot="1" x14ac:dyDescent="0.25">
      <c r="J22" s="34"/>
      <c r="K22" s="74"/>
      <c r="L22" s="61"/>
    </row>
  </sheetData>
  <mergeCells count="2">
    <mergeCell ref="J4:L4"/>
    <mergeCell ref="K5:L5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6546-812A-4140-A86E-8A3170CE54A6}">
  <dimension ref="D13:P25"/>
  <sheetViews>
    <sheetView topLeftCell="C7" workbookViewId="0">
      <selection activeCell="I31" sqref="I31"/>
    </sheetView>
  </sheetViews>
  <sheetFormatPr defaultColWidth="9" defaultRowHeight="14.25" x14ac:dyDescent="0.2"/>
  <cols>
    <col min="1" max="3" width="9" style="38"/>
    <col min="4" max="4" width="9.5" style="38" customWidth="1"/>
    <col min="5" max="6" width="9" style="38"/>
    <col min="7" max="7" width="23.625" style="38" customWidth="1"/>
    <col min="8" max="8" width="35.625" style="38" customWidth="1"/>
    <col min="9" max="10" width="9" style="38"/>
    <col min="11" max="11" width="24.125" style="38" customWidth="1"/>
    <col min="12" max="13" width="9" style="38"/>
    <col min="14" max="14" width="34.125" style="38" customWidth="1"/>
    <col min="15" max="16384" width="9" style="38"/>
  </cols>
  <sheetData>
    <row r="13" spans="4:16" ht="15" thickBot="1" x14ac:dyDescent="0.25"/>
    <row r="14" spans="4:16" ht="25.5" customHeight="1" thickBot="1" x14ac:dyDescent="0.25">
      <c r="G14" s="25" t="s">
        <v>3</v>
      </c>
      <c r="H14" s="65" t="s">
        <v>13</v>
      </c>
      <c r="I14" s="62" t="s">
        <v>10</v>
      </c>
      <c r="J14" s="63" t="s">
        <v>11</v>
      </c>
      <c r="K14" s="65" t="s">
        <v>13</v>
      </c>
      <c r="L14" s="62" t="s">
        <v>10</v>
      </c>
      <c r="M14" s="63" t="s">
        <v>11</v>
      </c>
      <c r="N14" s="64" t="s">
        <v>13</v>
      </c>
      <c r="O14" s="62" t="s">
        <v>10</v>
      </c>
      <c r="P14" s="63" t="s">
        <v>11</v>
      </c>
    </row>
    <row r="15" spans="4:16" x14ac:dyDescent="0.2">
      <c r="D15" s="53" t="s">
        <v>39</v>
      </c>
      <c r="E15" s="54">
        <f>SUM(I15:I18)+SUM(L15:L18)+SUM(O15:O18)</f>
        <v>0</v>
      </c>
      <c r="G15" s="55" t="s">
        <v>9</v>
      </c>
      <c r="H15" s="6"/>
      <c r="I15" s="10"/>
      <c r="J15" s="56"/>
      <c r="K15" s="6"/>
      <c r="L15" s="10"/>
      <c r="M15" s="56"/>
      <c r="N15" s="7"/>
      <c r="O15" s="214"/>
      <c r="P15" s="216"/>
    </row>
    <row r="16" spans="4:16" x14ac:dyDescent="0.2">
      <c r="D16" s="57" t="s">
        <v>0</v>
      </c>
      <c r="E16" s="58">
        <f>I15+L15+O15</f>
        <v>0</v>
      </c>
      <c r="G16" s="55" t="s">
        <v>4</v>
      </c>
      <c r="H16" s="6"/>
      <c r="I16" s="10"/>
      <c r="J16" s="56"/>
      <c r="K16" s="6"/>
      <c r="L16" s="10"/>
      <c r="M16" s="56"/>
      <c r="N16" s="7"/>
      <c r="O16" s="214"/>
      <c r="P16" s="9"/>
    </row>
    <row r="17" spans="4:16" x14ac:dyDescent="0.2">
      <c r="D17" s="57" t="s">
        <v>2</v>
      </c>
      <c r="E17" s="58">
        <f>I17+L17+O17</f>
        <v>0</v>
      </c>
      <c r="G17" s="55" t="s">
        <v>1</v>
      </c>
      <c r="H17" s="6"/>
      <c r="I17" s="10"/>
      <c r="J17" s="56"/>
      <c r="K17" s="6"/>
      <c r="L17" s="10"/>
      <c r="M17" s="56"/>
      <c r="N17" s="7"/>
      <c r="O17" s="214"/>
      <c r="P17" s="9"/>
    </row>
    <row r="18" spans="4:16" x14ac:dyDescent="0.2">
      <c r="D18" s="57" t="s">
        <v>40</v>
      </c>
      <c r="E18" s="58">
        <f>I21+L21+O21</f>
        <v>0</v>
      </c>
      <c r="G18" s="55" t="s">
        <v>5</v>
      </c>
      <c r="H18" s="6"/>
      <c r="I18" s="10"/>
      <c r="J18" s="56"/>
      <c r="K18" s="6"/>
      <c r="L18" s="10"/>
      <c r="M18" s="56"/>
      <c r="N18" s="7"/>
      <c r="O18" s="214"/>
      <c r="P18" s="9"/>
    </row>
    <row r="19" spans="4:16" ht="15" thickBot="1" x14ac:dyDescent="0.25">
      <c r="D19" s="59" t="s">
        <v>14</v>
      </c>
      <c r="E19" s="60">
        <f>SUM(I15:I21)+SUM(L15:L21)+SUM(O15:O21)</f>
        <v>0</v>
      </c>
      <c r="G19" s="55" t="s">
        <v>6</v>
      </c>
      <c r="H19" s="6"/>
      <c r="I19" s="10"/>
      <c r="J19" s="56"/>
      <c r="K19" s="6"/>
      <c r="L19" s="10"/>
      <c r="M19" s="56"/>
      <c r="N19" s="7"/>
      <c r="O19" s="214"/>
      <c r="P19" s="9"/>
    </row>
    <row r="20" spans="4:16" x14ac:dyDescent="0.2">
      <c r="G20" s="55" t="s">
        <v>7</v>
      </c>
      <c r="H20" s="6"/>
      <c r="I20" s="10"/>
      <c r="J20" s="56"/>
      <c r="K20" s="6"/>
      <c r="L20" s="10"/>
      <c r="M20" s="56"/>
      <c r="N20" s="7"/>
      <c r="O20" s="214"/>
      <c r="P20" s="9"/>
    </row>
    <row r="21" spans="4:16" ht="15" thickBot="1" x14ac:dyDescent="0.25">
      <c r="G21" s="66" t="s">
        <v>8</v>
      </c>
      <c r="H21" s="34"/>
      <c r="I21" s="12"/>
      <c r="J21" s="61"/>
      <c r="K21" s="34"/>
      <c r="L21" s="12"/>
      <c r="M21" s="61"/>
      <c r="N21" s="11"/>
      <c r="O21" s="215"/>
      <c r="P21" s="13"/>
    </row>
    <row r="25" spans="4:16" x14ac:dyDescent="0.2">
      <c r="I25" s="23" t="s">
        <v>87</v>
      </c>
      <c r="J25" s="96">
        <f>E19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毕业要求</vt:lpstr>
      <vt:lpstr>必修</vt:lpstr>
      <vt:lpstr>专业选修</vt:lpstr>
      <vt:lpstr>通识教育选修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亦辰</dc:creator>
  <cp:lastModifiedBy>亦辰</cp:lastModifiedBy>
  <dcterms:created xsi:type="dcterms:W3CDTF">2015-06-05T18:19:34Z</dcterms:created>
  <dcterms:modified xsi:type="dcterms:W3CDTF">2026-03-23T03:52:20Z</dcterms:modified>
</cp:coreProperties>
</file>